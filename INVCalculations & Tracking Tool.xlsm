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cer\OneDrive\Máy tính\"/>
    </mc:Choice>
  </mc:AlternateContent>
  <bookViews>
    <workbookView xWindow="0" yWindow="0" windowWidth="23040" windowHeight="9072"/>
  </bookViews>
  <sheets>
    <sheet name="ContinuousReivewPolicy" sheetId="2" r:id="rId1"/>
    <sheet name="Periodic Review Policy" sheetId="5" state="hidden" r:id="rId2"/>
    <sheet name="OrderManagement" sheetId="8" r:id="rId3"/>
    <sheet name="InventoryStatusChart" sheetId="10" r:id="rId4"/>
    <sheet name="Single Period Policy" sheetId="7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7" i="2" l="1"/>
  <c r="D34" i="2"/>
  <c r="D30" i="2"/>
  <c r="D29" i="2"/>
  <c r="B29" i="2"/>
  <c r="D24" i="2"/>
  <c r="D39" i="2"/>
  <c r="D33" i="2"/>
  <c r="D35" i="2"/>
  <c r="B45" i="2"/>
  <c r="B44" i="2"/>
  <c r="D46" i="2" s="1"/>
  <c r="D45" i="2" s="1"/>
  <c r="B25" i="2"/>
  <c r="B40" i="2"/>
  <c r="B26" i="2" s="1"/>
  <c r="B41" i="2" l="1"/>
  <c r="B12" i="2"/>
  <c r="B24" i="2" l="1"/>
  <c r="B39" i="2"/>
  <c r="D41" i="2" l="1"/>
  <c r="D43" i="2"/>
  <c r="D42" i="2" s="1"/>
  <c r="B28" i="2"/>
  <c r="D28" i="2"/>
  <c r="D27" i="2" s="1"/>
  <c r="D26" i="2"/>
  <c r="D31" i="2" s="1"/>
  <c r="D25" i="2" l="1"/>
  <c r="D40" i="2"/>
  <c r="D19" i="7" l="1"/>
  <c r="B19" i="7"/>
  <c r="B10" i="5"/>
  <c r="B13" i="5"/>
  <c r="D25" i="5" l="1"/>
  <c r="B12" i="7" l="1"/>
  <c r="B20" i="7" s="1"/>
  <c r="D22" i="5"/>
  <c r="D23" i="5"/>
  <c r="D28" i="5"/>
  <c r="D27" i="5" s="1"/>
  <c r="B23" i="5"/>
  <c r="B24" i="5" s="1"/>
  <c r="D24" i="5"/>
  <c r="B25" i="5" l="1"/>
  <c r="B26" i="5" s="1"/>
  <c r="D26" i="5" s="1"/>
  <c r="B21" i="7"/>
  <c r="B22" i="7" s="1"/>
  <c r="B23" i="7" s="1"/>
  <c r="B16" i="2"/>
  <c r="D48" i="2" s="1"/>
  <c r="B46" i="2" l="1"/>
  <c r="D44" i="2" s="1"/>
  <c r="D20" i="7"/>
  <c r="D21" i="7" s="1"/>
  <c r="D22" i="7" s="1"/>
  <c r="D18" i="7" s="1"/>
  <c r="B22" i="5"/>
  <c r="B43" i="2" l="1"/>
</calcChain>
</file>

<file path=xl/sharedStrings.xml><?xml version="1.0" encoding="utf-8"?>
<sst xmlns="http://schemas.openxmlformats.org/spreadsheetml/2006/main" count="299" uniqueCount="162">
  <si>
    <t>s</t>
  </si>
  <si>
    <t>meanD</t>
  </si>
  <si>
    <t>stdevD</t>
  </si>
  <si>
    <t>ce</t>
  </si>
  <si>
    <t>c</t>
  </si>
  <si>
    <t>ct</t>
  </si>
  <si>
    <t>CSL</t>
  </si>
  <si>
    <t>12 months per year, 4 weeks per month</t>
  </si>
  <si>
    <t>Q*</t>
  </si>
  <si>
    <t>k</t>
  </si>
  <si>
    <t>L</t>
  </si>
  <si>
    <t>h</t>
  </si>
  <si>
    <t>meanD(/month)</t>
  </si>
  <si>
    <t>stdevD(/monh)</t>
  </si>
  <si>
    <t>h(/year)</t>
  </si>
  <si>
    <t>h(/month)</t>
  </si>
  <si>
    <t>L(week)</t>
  </si>
  <si>
    <t>Cycle Service Level</t>
  </si>
  <si>
    <t>Standard Deviation Of Demand</t>
  </si>
  <si>
    <t>Cost Of Order</t>
  </si>
  <si>
    <t>Cost Of Purchase</t>
  </si>
  <si>
    <t>Safety Factor</t>
  </si>
  <si>
    <t xml:space="preserve">Cost Of Holding </t>
  </si>
  <si>
    <t xml:space="preserve">Average Demand </t>
  </si>
  <si>
    <t>(%)</t>
  </si>
  <si>
    <t>Replenishment Lead Time</t>
  </si>
  <si>
    <t>(time)</t>
  </si>
  <si>
    <t>Q</t>
  </si>
  <si>
    <t>Economic Order Quantity</t>
  </si>
  <si>
    <t>Actual Replenishment Order Quantity</t>
  </si>
  <si>
    <t xml:space="preserve">Reorder Point </t>
  </si>
  <si>
    <t>(Units)</t>
  </si>
  <si>
    <t>($/units)</t>
  </si>
  <si>
    <t>(units/time)</t>
  </si>
  <si>
    <t xml:space="preserve"> (units/time)</t>
  </si>
  <si>
    <t>N</t>
  </si>
  <si>
    <t>Orders per Time</t>
  </si>
  <si>
    <t>(order/time)</t>
  </si>
  <si>
    <t>Reorder Point s</t>
  </si>
  <si>
    <t>Buffer Stock for sastifying CSL</t>
  </si>
  <si>
    <t>IP</t>
  </si>
  <si>
    <t xml:space="preserve">Inventory Position </t>
  </si>
  <si>
    <t>IOH</t>
  </si>
  <si>
    <t>Inventory On Hand</t>
  </si>
  <si>
    <t>IOO</t>
  </si>
  <si>
    <t xml:space="preserve">Inventory on Order </t>
  </si>
  <si>
    <t>Note: IP = IOH + IOO - Backorders</t>
  </si>
  <si>
    <t>NOTATION</t>
  </si>
  <si>
    <t>INPUT DATA</t>
  </si>
  <si>
    <t>Expected StdevD during Leadtime</t>
  </si>
  <si>
    <t>ce(/year)</t>
  </si>
  <si>
    <t>Order has be in multiple of 100 units</t>
  </si>
  <si>
    <t>ANNUAL COST</t>
  </si>
  <si>
    <t>Purchasing Cost</t>
  </si>
  <si>
    <t>Ordering Cost</t>
  </si>
  <si>
    <t>Cycle Stock Cost</t>
  </si>
  <si>
    <t>Safety Stock Cost</t>
  </si>
  <si>
    <t>Pipeline Inventory Cost</t>
  </si>
  <si>
    <t>Holding Rate (Inventory On Hand)</t>
  </si>
  <si>
    <t>Holding Rate (Pipeline Inventory)</t>
  </si>
  <si>
    <t xml:space="preserve">Q - Order Quantity </t>
  </si>
  <si>
    <t>Q* - Economic Order Quantity</t>
  </si>
  <si>
    <t>Note: Order has be in multiple of 100 units</t>
  </si>
  <si>
    <t>Pipeline Inventory=Expected Demand during Leadtime</t>
  </si>
  <si>
    <t>R</t>
  </si>
  <si>
    <t>Review Period</t>
  </si>
  <si>
    <t>R (week)</t>
  </si>
  <si>
    <t xml:space="preserve">Order up to Point </t>
  </si>
  <si>
    <t>R+L</t>
  </si>
  <si>
    <t>Expected StdevD during R+L</t>
  </si>
  <si>
    <t>Expected MeanD during R+L</t>
  </si>
  <si>
    <t>Buffer Stock during R+L</t>
  </si>
  <si>
    <t>Average Quantiy per Order (Q=D*R)</t>
  </si>
  <si>
    <t>Average Pipeline Inventory=Expected Demand during Leadtime</t>
  </si>
  <si>
    <t>p</t>
  </si>
  <si>
    <t>B</t>
  </si>
  <si>
    <t>Selling Price</t>
  </si>
  <si>
    <t>g</t>
  </si>
  <si>
    <t>Salvage Value</t>
  </si>
  <si>
    <t>cs</t>
  </si>
  <si>
    <t>Penalty For Not Sastifying Demand</t>
  </si>
  <si>
    <t>Excess Cost</t>
  </si>
  <si>
    <t>Shortage Cost</t>
  </si>
  <si>
    <t>Profit Maximizing Quantity</t>
  </si>
  <si>
    <t>CR</t>
  </si>
  <si>
    <t>Critical Ratio</t>
  </si>
  <si>
    <t>Excess Cost (Ce)</t>
  </si>
  <si>
    <t>Shortage Cost (Cs)</t>
  </si>
  <si>
    <t>P[x&lt;=Q]</t>
  </si>
  <si>
    <t>($)</t>
  </si>
  <si>
    <t>Determine Profit Maximizing Quantity</t>
  </si>
  <si>
    <t>Expected Profit at Q*</t>
  </si>
  <si>
    <t>G(k)</t>
  </si>
  <si>
    <t>meanD (E[x])</t>
  </si>
  <si>
    <t>E[US]</t>
  </si>
  <si>
    <t>Expected Unit Short</t>
  </si>
  <si>
    <t>E[Sold]</t>
  </si>
  <si>
    <t>Expected Unit Sold</t>
  </si>
  <si>
    <t>E[P(Q)]</t>
  </si>
  <si>
    <t>E[P(Q)]=p*E[Sold]-c*Q+g*(Q-E[Sold])-B*E[US]</t>
  </si>
  <si>
    <t>Assume Demand of jerseys distributed as Normal Distribution</t>
  </si>
  <si>
    <t>Policy : Order for IP up to 6941 Units every 4 weeks</t>
  </si>
  <si>
    <t>Average Quantiy per Order (Q*)</t>
  </si>
  <si>
    <t xml:space="preserve">Note: Demand of jerseys distributed as Normal Distribution   </t>
  </si>
  <si>
    <t>meanD(or E[x])</t>
  </si>
  <si>
    <t>Expected(Forcasted) Demand</t>
  </si>
  <si>
    <t>Expected (Forecasted) Standard Deviation of Demand</t>
  </si>
  <si>
    <t>(Units/time)</t>
  </si>
  <si>
    <r>
      <rPr>
        <b/>
        <sz val="12"/>
        <color theme="1"/>
        <rFont val="Calibri"/>
        <family val="2"/>
        <scheme val="minor"/>
      </rPr>
      <t>RIDING PATRIOT</t>
    </r>
    <r>
      <rPr>
        <sz val="12"/>
        <color theme="1"/>
        <rFont val="Calibri"/>
        <family val="2"/>
        <scheme val="minor"/>
      </rPr>
      <t xml:space="preserve">
- Riding Patriot is the primary supplier of tires to the majority of New England's taxi cabs
- All stores across New England are supplied from this single DC. 
</t>
    </r>
    <r>
      <rPr>
        <b/>
        <i/>
        <sz val="12"/>
        <color theme="1"/>
        <rFont val="Calibri"/>
        <family val="2"/>
        <scheme val="minor"/>
      </rPr>
      <t>Scenario 2: Riding Patriot's DC adheres to Periodic Riview Policy (R, S)</t>
    </r>
  </si>
  <si>
    <r>
      <rPr>
        <b/>
        <sz val="11"/>
        <color theme="1"/>
        <rFont val="Calibri"/>
        <family val="2"/>
        <scheme val="minor"/>
      </rPr>
      <t xml:space="preserve">Dirt Dash Derby tournament
</t>
    </r>
    <r>
      <rPr>
        <sz val="11"/>
        <color theme="1"/>
        <rFont val="Calibri"/>
        <family val="2"/>
        <scheme val="minor"/>
      </rPr>
      <t xml:space="preserve">- New England was chosen to host Dirt Dash Derby - an off-road racing tournament - the following year
- Riding Patriot has decided to collaborate with an apparel factory to produce replica racing jerseys 
</t>
    </r>
    <r>
      <rPr>
        <b/>
        <i/>
        <sz val="11"/>
        <color theme="1"/>
        <rFont val="Calibri"/>
        <family val="2"/>
        <scheme val="minor"/>
      </rPr>
      <t>Requirement: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- Suggest the appropriate number of jerseys to order for the campaign 
- Forecast the potential profit generated from the campaign.</t>
    </r>
  </si>
  <si>
    <t>CONTINUOUS REVIEW INVENTORY POLICY (s,Q)</t>
  </si>
  <si>
    <t>PERIODIC REVIEW INVENTORY POLICY(R,S)</t>
  </si>
  <si>
    <t>meanL(week)</t>
  </si>
  <si>
    <t>stdevL(week)</t>
  </si>
  <si>
    <t>meanL</t>
  </si>
  <si>
    <t>Average Replenishment Lead Time</t>
  </si>
  <si>
    <t>stdevL</t>
  </si>
  <si>
    <t>Standard Deviation Of Lead Time</t>
  </si>
  <si>
    <t>Orders per Year (N)</t>
  </si>
  <si>
    <r>
      <rPr>
        <b/>
        <sz val="14"/>
        <color theme="1"/>
        <rFont val="Calibri"/>
        <family val="2"/>
        <scheme val="minor"/>
      </rPr>
      <t xml:space="preserve">EcoTreat
</t>
    </r>
    <r>
      <rPr>
        <sz val="12"/>
        <color theme="1"/>
        <rFont val="Calibri"/>
        <family val="2"/>
        <scheme val="minor"/>
      </rPr>
      <t xml:space="preserve">- EcoTreat is the primary supplier of tires to the majority of HCM-BD-DN's taxi cabs
- All stores are supplied from this single DC. 
</t>
    </r>
    <r>
      <rPr>
        <b/>
        <i/>
        <sz val="12"/>
        <color theme="1"/>
        <rFont val="Calibri"/>
        <family val="2"/>
        <scheme val="minor"/>
      </rPr>
      <t>We determined that EcoTreat's DC adheres to Continuous Riview Policy (s,Q) for product R15-HB2</t>
    </r>
  </si>
  <si>
    <t>Product Name</t>
  </si>
  <si>
    <t>R15-HB2</t>
  </si>
  <si>
    <t>Re-order Point</t>
  </si>
  <si>
    <t>Safety Stock Level</t>
  </si>
  <si>
    <t>Leadtime</t>
  </si>
  <si>
    <t>Backorders</t>
  </si>
  <si>
    <t>Ending Inventory</t>
  </si>
  <si>
    <t xml:space="preserve">Beginning Inventory </t>
  </si>
  <si>
    <t>Pipeline Inventory</t>
  </si>
  <si>
    <t xml:space="preserve">Inventory On Order </t>
  </si>
  <si>
    <t>Order Quantity</t>
  </si>
  <si>
    <t>No</t>
  </si>
  <si>
    <t>Not</t>
  </si>
  <si>
    <t xml:space="preserve">Continuous Review Policy Details </t>
  </si>
  <si>
    <t>Initial</t>
  </si>
  <si>
    <t xml:space="preserve">Initial Stock Level </t>
  </si>
  <si>
    <t>Sales Volume</t>
  </si>
  <si>
    <t>Reorder Trigger</t>
  </si>
  <si>
    <r>
      <t xml:space="preserve">Automatic Reorder Trigger : To determine when to trigger a replenishment order automatically, we consider the Inventory Position and Re-order Point. The trigger occurs when the Inventory Positon (IP) falls below the Re-order Point (s)
</t>
    </r>
    <r>
      <rPr>
        <i/>
        <sz val="11"/>
        <color theme="1"/>
        <rFont val="Calibri"/>
        <family val="2"/>
        <scheme val="minor"/>
      </rPr>
      <t>Note: IP = IOH + IOO - Backorders</t>
    </r>
  </si>
  <si>
    <t>Inventory On Hand (IOH)</t>
  </si>
  <si>
    <t>Inventory On Order (IOO)</t>
  </si>
  <si>
    <t>Inventory Position (IP)</t>
  </si>
  <si>
    <t>Any Order Shipped ?</t>
  </si>
  <si>
    <t>Buffer Stock Cost</t>
  </si>
  <si>
    <t xml:space="preserve">cs </t>
  </si>
  <si>
    <t>Cost Per Item Stocked Out</t>
  </si>
  <si>
    <t>T</t>
  </si>
  <si>
    <t>T*(month)</t>
  </si>
  <si>
    <t xml:space="preserve">Optimal Time between Replenishments </t>
  </si>
  <si>
    <t>(time/order)</t>
  </si>
  <si>
    <t>Policy: Order  Units if IP &lt;= 0 Units</t>
  </si>
  <si>
    <t>ECONOMIC ORDER QUANTITY POLICY (EOQ w/ LeadTime)</t>
  </si>
  <si>
    <t xml:space="preserve">k </t>
  </si>
  <si>
    <t>ESTIMATED ANNUAL COST (EOQ  w/ LeadTime )</t>
  </si>
  <si>
    <t>ESTIMATED ANNUAL COST (s,Q Policy)</t>
  </si>
  <si>
    <t>Product</t>
  </si>
  <si>
    <t>Policy: Order 1200 Units when IP = 600 Units</t>
  </si>
  <si>
    <t>Policy: Order 1200 Units if IP = 881 Units</t>
  </si>
  <si>
    <t>~N(14,3.5)</t>
  </si>
  <si>
    <t>Or: Order 1200 Units every 1 months</t>
  </si>
  <si>
    <t>Record Table</t>
  </si>
  <si>
    <t>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</si>
</sst>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00"/>
    <numFmt numFmtId="166" formatCode="0.0000000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5117038483843"/>
        <bgColor indexed="64"/>
      </patternFill>
    </fill>
  </fills>
  <borders count="5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tted">
        <color indexed="64"/>
      </bottom>
      <diagonal/>
    </border>
    <border>
      <left style="dash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0" fillId="0" borderId="0" xfId="0" applyAlignment="1"/>
    <xf numFmtId="0" fontId="0" fillId="0" borderId="0" xfId="0" applyBorder="1"/>
    <xf numFmtId="1" fontId="1" fillId="3" borderId="2" xfId="0" applyNumberFormat="1" applyFont="1" applyFill="1" applyBorder="1"/>
    <xf numFmtId="0" fontId="2" fillId="3" borderId="9" xfId="0" applyFont="1" applyFill="1" applyBorder="1" applyAlignment="1"/>
    <xf numFmtId="0" fontId="2" fillId="3" borderId="1" xfId="0" applyFont="1" applyFill="1" applyBorder="1" applyAlignment="1"/>
    <xf numFmtId="0" fontId="4" fillId="0" borderId="11" xfId="0" applyFont="1" applyBorder="1" applyAlignment="1">
      <alignment horizontal="right"/>
    </xf>
    <xf numFmtId="10" fontId="0" fillId="0" borderId="12" xfId="0" applyNumberFormat="1" applyBorder="1"/>
    <xf numFmtId="0" fontId="7" fillId="0" borderId="13" xfId="0" applyFont="1" applyBorder="1" applyAlignment="1">
      <alignment horizontal="right"/>
    </xf>
    <xf numFmtId="2" fontId="3" fillId="0" borderId="14" xfId="0" applyNumberFormat="1" applyFont="1" applyBorder="1"/>
    <xf numFmtId="0" fontId="5" fillId="3" borderId="16" xfId="0" applyFont="1" applyFill="1" applyBorder="1" applyAlignment="1">
      <alignment horizontal="left"/>
    </xf>
    <xf numFmtId="1" fontId="0" fillId="0" borderId="12" xfId="0" applyNumberFormat="1" applyBorder="1"/>
    <xf numFmtId="0" fontId="0" fillId="0" borderId="8" xfId="0" applyBorder="1"/>
    <xf numFmtId="0" fontId="1" fillId="0" borderId="11" xfId="0" applyFont="1" applyBorder="1" applyAlignment="1">
      <alignment horizontal="center"/>
    </xf>
    <xf numFmtId="0" fontId="0" fillId="0" borderId="17" xfId="0" applyBorder="1"/>
    <xf numFmtId="9" fontId="0" fillId="0" borderId="17" xfId="0" applyNumberFormat="1" applyBorder="1"/>
    <xf numFmtId="0" fontId="1" fillId="0" borderId="11" xfId="0" applyFont="1" applyFill="1" applyBorder="1" applyAlignment="1">
      <alignment horizontal="center"/>
    </xf>
    <xf numFmtId="2" fontId="0" fillId="0" borderId="17" xfId="0" applyNumberFormat="1" applyBorder="1"/>
    <xf numFmtId="0" fontId="1" fillId="0" borderId="18" xfId="0" applyFont="1" applyBorder="1" applyAlignment="1">
      <alignment horizontal="center"/>
    </xf>
    <xf numFmtId="9" fontId="0" fillId="0" borderId="19" xfId="0" applyNumberFormat="1" applyBorder="1"/>
    <xf numFmtId="0" fontId="1" fillId="0" borderId="13" xfId="0" applyFont="1" applyBorder="1" applyAlignment="1">
      <alignment horizontal="center"/>
    </xf>
    <xf numFmtId="0" fontId="0" fillId="0" borderId="20" xfId="0" applyBorder="1"/>
    <xf numFmtId="0" fontId="0" fillId="0" borderId="10" xfId="0" applyBorder="1"/>
    <xf numFmtId="0" fontId="1" fillId="0" borderId="1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 vertical="center"/>
    </xf>
    <xf numFmtId="0" fontId="0" fillId="0" borderId="21" xfId="0" applyBorder="1"/>
    <xf numFmtId="0" fontId="4" fillId="0" borderId="19" xfId="0" applyFont="1" applyBorder="1" applyAlignment="1">
      <alignment horizontal="center"/>
    </xf>
    <xf numFmtId="0" fontId="1" fillId="0" borderId="13" xfId="0" applyFont="1" applyFill="1" applyBorder="1" applyAlignment="1">
      <alignment horizontal="left" vertical="center"/>
    </xf>
    <xf numFmtId="0" fontId="1" fillId="0" borderId="20" xfId="0" applyFont="1" applyBorder="1"/>
    <xf numFmtId="0" fontId="1" fillId="0" borderId="11" xfId="0" applyFont="1" applyFill="1" applyBorder="1" applyAlignment="1">
      <alignment horizontal="left" vertical="center"/>
    </xf>
    <xf numFmtId="0" fontId="1" fillId="0" borderId="17" xfId="0" applyFont="1" applyBorder="1"/>
    <xf numFmtId="164" fontId="1" fillId="0" borderId="17" xfId="0" applyNumberFormat="1" applyFont="1" applyBorder="1"/>
    <xf numFmtId="0" fontId="4" fillId="0" borderId="18" xfId="0" applyFont="1" applyBorder="1" applyAlignment="1">
      <alignment horizontal="right" wrapText="1"/>
    </xf>
    <xf numFmtId="1" fontId="0" fillId="0" borderId="19" xfId="0" applyNumberFormat="1" applyFont="1" applyBorder="1"/>
    <xf numFmtId="1" fontId="0" fillId="0" borderId="17" xfId="0" applyNumberFormat="1" applyBorder="1"/>
    <xf numFmtId="0" fontId="4" fillId="0" borderId="11" xfId="0" applyFont="1" applyFill="1" applyBorder="1" applyAlignment="1">
      <alignment horizontal="right" vertical="center"/>
    </xf>
    <xf numFmtId="0" fontId="0" fillId="0" borderId="17" xfId="0" applyFont="1" applyBorder="1"/>
    <xf numFmtId="1" fontId="1" fillId="0" borderId="17" xfId="0" applyNumberFormat="1" applyFont="1" applyBorder="1"/>
    <xf numFmtId="0" fontId="0" fillId="0" borderId="8" xfId="0" applyFill="1" applyBorder="1" applyAlignment="1"/>
    <xf numFmtId="0" fontId="1" fillId="0" borderId="13" xfId="0" applyFont="1" applyBorder="1"/>
    <xf numFmtId="0" fontId="1" fillId="0" borderId="11" xfId="0" applyFont="1" applyBorder="1"/>
    <xf numFmtId="0" fontId="1" fillId="0" borderId="18" xfId="0" applyFont="1" applyBorder="1"/>
    <xf numFmtId="0" fontId="0" fillId="0" borderId="19" xfId="0" applyBorder="1"/>
    <xf numFmtId="0" fontId="4" fillId="0" borderId="17" xfId="0" applyFont="1" applyFill="1" applyBorder="1" applyAlignment="1">
      <alignment horizontal="center" vertical="center"/>
    </xf>
    <xf numFmtId="0" fontId="1" fillId="0" borderId="18" xfId="0" applyFont="1" applyFill="1" applyBorder="1" applyAlignment="1">
      <alignment horizontal="center"/>
    </xf>
    <xf numFmtId="0" fontId="0" fillId="0" borderId="21" xfId="0" applyFill="1" applyBorder="1" applyAlignment="1"/>
    <xf numFmtId="0" fontId="4" fillId="0" borderId="19" xfId="0" applyFont="1" applyFill="1" applyBorder="1" applyAlignment="1">
      <alignment horizontal="center" vertical="center"/>
    </xf>
    <xf numFmtId="10" fontId="0" fillId="0" borderId="17" xfId="0" applyNumberFormat="1" applyBorder="1"/>
    <xf numFmtId="0" fontId="1" fillId="3" borderId="18" xfId="0" applyFont="1" applyFill="1" applyBorder="1"/>
    <xf numFmtId="1" fontId="0" fillId="3" borderId="19" xfId="0" applyNumberFormat="1" applyFill="1" applyBorder="1"/>
    <xf numFmtId="0" fontId="1" fillId="3" borderId="11" xfId="0" applyFont="1" applyFill="1" applyBorder="1"/>
    <xf numFmtId="164" fontId="1" fillId="3" borderId="17" xfId="0" applyNumberFormat="1" applyFont="1" applyFill="1" applyBorder="1"/>
    <xf numFmtId="2" fontId="0" fillId="0" borderId="17" xfId="0" applyNumberFormat="1" applyBorder="1" applyAlignment="1">
      <alignment horizontal="right"/>
    </xf>
    <xf numFmtId="0" fontId="0" fillId="0" borderId="17" xfId="0" applyBorder="1" applyAlignment="1">
      <alignment horizontal="right"/>
    </xf>
    <xf numFmtId="1" fontId="0" fillId="0" borderId="17" xfId="0" applyNumberFormat="1" applyBorder="1" applyAlignment="1">
      <alignment horizontal="right"/>
    </xf>
    <xf numFmtId="0" fontId="4" fillId="0" borderId="20" xfId="0" applyFont="1" applyBorder="1" applyAlignment="1">
      <alignment horizontal="center"/>
    </xf>
    <xf numFmtId="0" fontId="5" fillId="3" borderId="13" xfId="0" applyFont="1" applyFill="1" applyBorder="1" applyAlignment="1">
      <alignment horizontal="left"/>
    </xf>
    <xf numFmtId="1" fontId="1" fillId="3" borderId="20" xfId="0" applyNumberFormat="1" applyFont="1" applyFill="1" applyBorder="1" applyAlignment="1">
      <alignment horizontal="right"/>
    </xf>
    <xf numFmtId="164" fontId="0" fillId="0" borderId="0" xfId="0" applyNumberFormat="1"/>
    <xf numFmtId="1" fontId="0" fillId="0" borderId="0" xfId="0" applyNumberFormat="1"/>
    <xf numFmtId="0" fontId="4" fillId="0" borderId="27" xfId="0" applyFont="1" applyFill="1" applyBorder="1" applyAlignment="1">
      <alignment horizontal="right"/>
    </xf>
    <xf numFmtId="1" fontId="0" fillId="0" borderId="28" xfId="0" applyNumberFormat="1" applyBorder="1"/>
    <xf numFmtId="0" fontId="1" fillId="5" borderId="18" xfId="0" applyFont="1" applyFill="1" applyBorder="1" applyAlignment="1">
      <alignment horizontal="center"/>
    </xf>
    <xf numFmtId="0" fontId="0" fillId="5" borderId="19" xfId="0" applyFill="1" applyBorder="1"/>
    <xf numFmtId="0" fontId="1" fillId="5" borderId="18" xfId="0" applyFont="1" applyFill="1" applyBorder="1" applyAlignment="1">
      <alignment horizontal="center" vertical="center"/>
    </xf>
    <xf numFmtId="0" fontId="0" fillId="5" borderId="21" xfId="0" applyFill="1" applyBorder="1"/>
    <xf numFmtId="0" fontId="4" fillId="5" borderId="19" xfId="0" applyFont="1" applyFill="1" applyBorder="1" applyAlignment="1">
      <alignment horizontal="center"/>
    </xf>
    <xf numFmtId="0" fontId="1" fillId="0" borderId="16" xfId="0" applyFont="1" applyFill="1" applyBorder="1" applyAlignment="1">
      <alignment horizontal="center" vertical="center"/>
    </xf>
    <xf numFmtId="0" fontId="0" fillId="0" borderId="34" xfId="0" applyFill="1" applyBorder="1"/>
    <xf numFmtId="0" fontId="0" fillId="0" borderId="0" xfId="0" applyAlignment="1">
      <alignment horizontal="right"/>
    </xf>
    <xf numFmtId="0" fontId="0" fillId="0" borderId="35" xfId="0" applyBorder="1"/>
    <xf numFmtId="0" fontId="0" fillId="3" borderId="35" xfId="0" applyFill="1" applyBorder="1" applyAlignment="1">
      <alignment horizontal="left"/>
    </xf>
    <xf numFmtId="0" fontId="0" fillId="0" borderId="0" xfId="0" applyAlignment="1">
      <alignment horizontal="left" wrapText="1"/>
    </xf>
    <xf numFmtId="0" fontId="0" fillId="0" borderId="35" xfId="0" applyFont="1" applyBorder="1" applyAlignment="1">
      <alignment horizontal="right"/>
    </xf>
    <xf numFmtId="0" fontId="0" fillId="0" borderId="35" xfId="0" applyBorder="1" applyAlignment="1">
      <alignment horizontal="right"/>
    </xf>
    <xf numFmtId="0" fontId="1" fillId="0" borderId="35" xfId="0" applyFont="1" applyBorder="1" applyAlignment="1">
      <alignment horizontal="right"/>
    </xf>
    <xf numFmtId="0" fontId="0" fillId="0" borderId="31" xfId="0" applyBorder="1"/>
    <xf numFmtId="0" fontId="4" fillId="0" borderId="27" xfId="0" applyFont="1" applyBorder="1" applyAlignment="1">
      <alignment horizontal="right" wrapText="1"/>
    </xf>
    <xf numFmtId="1" fontId="0" fillId="0" borderId="28" xfId="0" applyNumberFormat="1" applyFont="1" applyBorder="1"/>
    <xf numFmtId="0" fontId="4" fillId="0" borderId="37" xfId="0" applyFont="1" applyBorder="1" applyAlignment="1">
      <alignment horizontal="right" wrapText="1"/>
    </xf>
    <xf numFmtId="165" fontId="0" fillId="0" borderId="38" xfId="0" applyNumberFormat="1" applyFont="1" applyBorder="1"/>
    <xf numFmtId="0" fontId="1" fillId="0" borderId="39" xfId="0" applyFont="1" applyBorder="1" applyAlignment="1">
      <alignment horizontal="left" wrapText="1"/>
    </xf>
    <xf numFmtId="0" fontId="2" fillId="3" borderId="40" xfId="0" applyFont="1" applyFill="1" applyBorder="1" applyAlignment="1"/>
    <xf numFmtId="10" fontId="0" fillId="0" borderId="36" xfId="0" applyNumberFormat="1" applyBorder="1"/>
    <xf numFmtId="2" fontId="3" fillId="0" borderId="41" xfId="0" applyNumberFormat="1" applyFont="1" applyBorder="1"/>
    <xf numFmtId="0" fontId="1" fillId="0" borderId="2" xfId="0" applyFont="1" applyBorder="1"/>
    <xf numFmtId="0" fontId="4" fillId="0" borderId="18" xfId="0" applyFont="1" applyBorder="1" applyAlignment="1">
      <alignment horizontal="right"/>
    </xf>
    <xf numFmtId="1" fontId="0" fillId="0" borderId="4" xfId="0" applyNumberFormat="1" applyBorder="1"/>
    <xf numFmtId="2" fontId="0" fillId="0" borderId="17" xfId="0" applyNumberFormat="1" applyFont="1" applyBorder="1"/>
    <xf numFmtId="0" fontId="7" fillId="0" borderId="43" xfId="0" applyFont="1" applyBorder="1" applyAlignment="1">
      <alignment horizontal="right"/>
    </xf>
    <xf numFmtId="0" fontId="7" fillId="0" borderId="43" xfId="0" applyFont="1" applyBorder="1" applyAlignment="1">
      <alignment horizontal="right" wrapText="1"/>
    </xf>
    <xf numFmtId="1" fontId="3" fillId="0" borderId="42" xfId="0" applyNumberFormat="1" applyFont="1" applyBorder="1"/>
    <xf numFmtId="1" fontId="1" fillId="0" borderId="44" xfId="0" applyNumberFormat="1" applyFont="1" applyBorder="1"/>
    <xf numFmtId="0" fontId="1" fillId="6" borderId="11" xfId="0" applyFont="1" applyFill="1" applyBorder="1" applyAlignment="1">
      <alignment horizontal="left" vertical="center"/>
    </xf>
    <xf numFmtId="1" fontId="1" fillId="6" borderId="17" xfId="0" applyNumberFormat="1" applyFont="1" applyFill="1" applyBorder="1"/>
    <xf numFmtId="0" fontId="0" fillId="0" borderId="11" xfId="0" applyFont="1" applyBorder="1" applyAlignment="1">
      <alignment horizontal="right"/>
    </xf>
    <xf numFmtId="0" fontId="1" fillId="0" borderId="47" xfId="0" applyFont="1" applyBorder="1"/>
    <xf numFmtId="0" fontId="0" fillId="0" borderId="47" xfId="0" applyBorder="1"/>
    <xf numFmtId="0" fontId="13" fillId="4" borderId="35" xfId="0" applyFont="1" applyFill="1" applyBorder="1"/>
    <xf numFmtId="0" fontId="13" fillId="0" borderId="5" xfId="0" applyFont="1" applyBorder="1"/>
    <xf numFmtId="0" fontId="13" fillId="0" borderId="7" xfId="0" applyFont="1" applyBorder="1"/>
    <xf numFmtId="0" fontId="9" fillId="3" borderId="24" xfId="0" applyFont="1" applyFill="1" applyBorder="1" applyAlignment="1">
      <alignment horizontal="center"/>
    </xf>
    <xf numFmtId="0" fontId="9" fillId="3" borderId="12" xfId="0" applyFont="1" applyFill="1" applyBorder="1" applyAlignment="1">
      <alignment horizontal="center"/>
    </xf>
    <xf numFmtId="0" fontId="0" fillId="0" borderId="32" xfId="0" applyFont="1" applyBorder="1" applyAlignment="1">
      <alignment horizontal="center"/>
    </xf>
    <xf numFmtId="0" fontId="0" fillId="0" borderId="33" xfId="0" applyFont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10" fillId="2" borderId="30" xfId="0" applyFont="1" applyFill="1" applyBorder="1" applyAlignment="1">
      <alignment horizontal="left" vertical="top" wrapText="1"/>
    </xf>
    <xf numFmtId="0" fontId="10" fillId="2" borderId="1" xfId="0" applyFont="1" applyFill="1" applyBorder="1" applyAlignment="1">
      <alignment horizontal="left" vertical="top" wrapText="1"/>
    </xf>
    <xf numFmtId="0" fontId="10" fillId="2" borderId="31" xfId="0" applyFont="1" applyFill="1" applyBorder="1" applyAlignment="1">
      <alignment horizontal="left" vertical="top" wrapText="1"/>
    </xf>
    <xf numFmtId="0" fontId="10" fillId="2" borderId="2" xfId="0" applyFont="1" applyFill="1" applyBorder="1" applyAlignment="1">
      <alignment horizontal="left" vertical="top" wrapText="1"/>
    </xf>
    <xf numFmtId="0" fontId="2" fillId="3" borderId="45" xfId="0" applyFont="1" applyFill="1" applyBorder="1" applyAlignment="1">
      <alignment horizontal="center" wrapText="1"/>
    </xf>
    <xf numFmtId="0" fontId="2" fillId="3" borderId="46" xfId="0" applyFont="1" applyFill="1" applyBorder="1" applyAlignment="1">
      <alignment horizontal="center" wrapText="1"/>
    </xf>
    <xf numFmtId="0" fontId="2" fillId="3" borderId="15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4" borderId="5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left" vertical="top" wrapText="1"/>
    </xf>
    <xf numFmtId="0" fontId="10" fillId="2" borderId="4" xfId="0" applyFont="1" applyFill="1" applyBorder="1" applyAlignment="1">
      <alignment horizontal="left" vertical="top" wrapText="1"/>
    </xf>
    <xf numFmtId="0" fontId="9" fillId="4" borderId="22" xfId="0" applyFont="1" applyFill="1" applyBorder="1" applyAlignment="1">
      <alignment horizontal="center"/>
    </xf>
    <xf numFmtId="0" fontId="9" fillId="4" borderId="23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4" fillId="0" borderId="32" xfId="0" applyFont="1" applyFill="1" applyBorder="1" applyAlignment="1">
      <alignment horizontal="center"/>
    </xf>
    <xf numFmtId="0" fontId="4" fillId="0" borderId="33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24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2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14" fontId="1" fillId="0" borderId="47" xfId="0" applyNumberFormat="1" applyFont="1" applyBorder="1"/>
    <xf numFmtId="0" fontId="13" fillId="4" borderId="48" xfId="0" applyFont="1" applyFill="1" applyBorder="1" applyAlignment="1">
      <alignment horizontal="center"/>
    </xf>
    <xf numFmtId="0" fontId="13" fillId="4" borderId="49" xfId="0" applyFont="1" applyFill="1" applyBorder="1" applyAlignment="1">
      <alignment horizontal="center"/>
    </xf>
    <xf numFmtId="0" fontId="0" fillId="0" borderId="11" xfId="0" applyFont="1" applyBorder="1" applyAlignment="1">
      <alignment horizontal="left"/>
    </xf>
    <xf numFmtId="0" fontId="0" fillId="0" borderId="17" xfId="0" applyFont="1" applyBorder="1" applyAlignment="1">
      <alignment horizontal="right"/>
    </xf>
    <xf numFmtId="0" fontId="0" fillId="0" borderId="11" xfId="0" applyBorder="1"/>
    <xf numFmtId="0" fontId="1" fillId="3" borderId="17" xfId="0" applyFont="1" applyFill="1" applyBorder="1"/>
    <xf numFmtId="0" fontId="0" fillId="0" borderId="11" xfId="0" applyBorder="1" applyAlignment="1">
      <alignment horizontal="left" wrapText="1"/>
    </xf>
    <xf numFmtId="0" fontId="0" fillId="0" borderId="17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19" xfId="0" applyBorder="1" applyAlignment="1">
      <alignment horizontal="left" wrapText="1"/>
    </xf>
    <xf numFmtId="14" fontId="1" fillId="0" borderId="35" xfId="0" applyNumberFormat="1" applyFont="1" applyBorder="1"/>
    <xf numFmtId="0" fontId="1" fillId="0" borderId="35" xfId="0" applyFont="1" applyBorder="1"/>
    <xf numFmtId="0" fontId="0" fillId="8" borderId="35" xfId="0" applyFill="1" applyBorder="1"/>
    <xf numFmtId="0" fontId="0" fillId="8" borderId="47" xfId="0" applyFill="1" applyBorder="1"/>
    <xf numFmtId="0" fontId="1" fillId="7" borderId="47" xfId="0" applyFont="1" applyFill="1" applyBorder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Inventory Status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IOH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OrderManagement!$F$1:$L$1</c:f>
              <c:numCache>
                <c:formatCode>m/d/yyyy</c:formatCode>
                <c:ptCount val="7"/>
                <c:pt idx="0">
                  <c:v>45426</c:v>
                </c:pt>
                <c:pt idx="1">
                  <c:v>45427</c:v>
                </c:pt>
                <c:pt idx="2">
                  <c:v>45428</c:v>
                </c:pt>
                <c:pt idx="3">
                  <c:v>45429</c:v>
                </c:pt>
                <c:pt idx="4">
                  <c:v>45430</c:v>
                </c:pt>
                <c:pt idx="5">
                  <c:v>45431</c:v>
                </c:pt>
                <c:pt idx="6">
                  <c:v>45432</c:v>
                </c:pt>
              </c:numCache>
            </c:numRef>
          </c:cat>
          <c:val>
            <c:numRef>
              <c:f>OrderManagement!$F$8:$L$8</c:f>
              <c:numCache>
                <c:formatCode>General</c:formatCode>
                <c:ptCount val="7"/>
                <c:pt idx="0">
                  <c:v>671</c:v>
                </c:pt>
                <c:pt idx="1">
                  <c:v>636</c:v>
                </c:pt>
                <c:pt idx="2">
                  <c:v>616</c:v>
                </c:pt>
                <c:pt idx="3">
                  <c:v>586</c:v>
                </c:pt>
                <c:pt idx="4">
                  <c:v>548</c:v>
                </c:pt>
                <c:pt idx="5">
                  <c:v>506</c:v>
                </c:pt>
                <c:pt idx="6">
                  <c:v>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ED-4C73-8F66-217FE3D95255}"/>
            </c:ext>
          </c:extLst>
        </c:ser>
        <c:ser>
          <c:idx val="1"/>
          <c:order val="1"/>
          <c:tx>
            <c:v>IP</c:v>
          </c:tx>
          <c:spPr>
            <a:ln w="28575" cap="rnd" cmpd="sng" algn="ctr">
              <a:solidFill>
                <a:srgbClr val="FF0000">
                  <a:alpha val="35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 cap="rnd" cmpd="sng" algn="ctr">
                <a:solidFill>
                  <a:srgbClr val="FF0000">
                    <a:alpha val="35000"/>
                  </a:srgbClr>
                </a:solidFill>
                <a:prstDash val="sysDash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OrderManagement!$F$1:$L$1</c:f>
              <c:numCache>
                <c:formatCode>m/d/yyyy</c:formatCode>
                <c:ptCount val="7"/>
                <c:pt idx="0">
                  <c:v>45426</c:v>
                </c:pt>
                <c:pt idx="1">
                  <c:v>45427</c:v>
                </c:pt>
                <c:pt idx="2">
                  <c:v>45428</c:v>
                </c:pt>
                <c:pt idx="3">
                  <c:v>45429</c:v>
                </c:pt>
                <c:pt idx="4">
                  <c:v>45430</c:v>
                </c:pt>
                <c:pt idx="5">
                  <c:v>45431</c:v>
                </c:pt>
                <c:pt idx="6">
                  <c:v>45432</c:v>
                </c:pt>
              </c:numCache>
            </c:numRef>
          </c:cat>
          <c:val>
            <c:numRef>
              <c:f>OrderManagement!$F$11:$L$11</c:f>
              <c:numCache>
                <c:formatCode>General</c:formatCode>
                <c:ptCount val="7"/>
                <c:pt idx="0">
                  <c:v>671</c:v>
                </c:pt>
                <c:pt idx="1">
                  <c:v>1836</c:v>
                </c:pt>
                <c:pt idx="2">
                  <c:v>1816</c:v>
                </c:pt>
                <c:pt idx="3">
                  <c:v>1786</c:v>
                </c:pt>
                <c:pt idx="4">
                  <c:v>1748</c:v>
                </c:pt>
                <c:pt idx="5">
                  <c:v>1706</c:v>
                </c:pt>
                <c:pt idx="6">
                  <c:v>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ED-4C73-8F66-217FE3D95255}"/>
            </c:ext>
          </c:extLst>
        </c:ser>
        <c:ser>
          <c:idx val="2"/>
          <c:order val="2"/>
          <c:tx>
            <c:v>Re-order Point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OrderManagement!$F$1:$L$1</c:f>
              <c:numCache>
                <c:formatCode>m/d/yyyy</c:formatCode>
                <c:ptCount val="7"/>
                <c:pt idx="0">
                  <c:v>45426</c:v>
                </c:pt>
                <c:pt idx="1">
                  <c:v>45427</c:v>
                </c:pt>
                <c:pt idx="2">
                  <c:v>45428</c:v>
                </c:pt>
                <c:pt idx="3">
                  <c:v>45429</c:v>
                </c:pt>
                <c:pt idx="4">
                  <c:v>45430</c:v>
                </c:pt>
                <c:pt idx="5">
                  <c:v>45431</c:v>
                </c:pt>
                <c:pt idx="6">
                  <c:v>45432</c:v>
                </c:pt>
              </c:numCache>
            </c:numRef>
          </c:cat>
          <c:val>
            <c:numRef>
              <c:f>OrderManagement!$F$12:$L$12</c:f>
              <c:numCache>
                <c:formatCode>General</c:formatCode>
                <c:ptCount val="7"/>
                <c:pt idx="0">
                  <c:v>881</c:v>
                </c:pt>
                <c:pt idx="1">
                  <c:v>881</c:v>
                </c:pt>
                <c:pt idx="2">
                  <c:v>881</c:v>
                </c:pt>
                <c:pt idx="3">
                  <c:v>881</c:v>
                </c:pt>
                <c:pt idx="4">
                  <c:v>881</c:v>
                </c:pt>
                <c:pt idx="5">
                  <c:v>881</c:v>
                </c:pt>
                <c:pt idx="6">
                  <c:v>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ED-4C73-8F66-217FE3D95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470624"/>
        <c:axId val="569761088"/>
      </c:lineChart>
      <c:dateAx>
        <c:axId val="562470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61088"/>
        <c:crosses val="autoZero"/>
        <c:auto val="1"/>
        <c:lblOffset val="100"/>
        <c:baseTimeUnit val="days"/>
      </c:dateAx>
      <c:valAx>
        <c:axId val="5697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7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87" workbookViewId="0" zoomToFit="1"/>
  </sheetViews>
  <pageMargins left="0.7" right="0.7" top="0.75" bottom="0.75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26224</xdr:colOff>
      <xdr:row>28</xdr:row>
      <xdr:rowOff>307027</xdr:rowOff>
    </xdr:from>
    <xdr:to>
      <xdr:col>8</xdr:col>
      <xdr:colOff>528452</xdr:colOff>
      <xdr:row>48</xdr:row>
      <xdr:rowOff>9896</xdr:rowOff>
    </xdr:to>
    <xdr:grpSp>
      <xdr:nvGrpSpPr>
        <xdr:cNvPr id="10" name="Group 9"/>
        <xdr:cNvGrpSpPr/>
      </xdr:nvGrpSpPr>
      <xdr:grpSpPr>
        <a:xfrm>
          <a:off x="12855533" y="6112082"/>
          <a:ext cx="3577937" cy="3609850"/>
          <a:chOff x="6316340" y="9368954"/>
          <a:chExt cx="3850581" cy="3865900"/>
        </a:xfrm>
      </xdr:grpSpPr>
      <xdr:grpSp>
        <xdr:nvGrpSpPr>
          <xdr:cNvPr id="9" name="Group 8"/>
          <xdr:cNvGrpSpPr/>
        </xdr:nvGrpSpPr>
        <xdr:grpSpPr>
          <a:xfrm>
            <a:off x="6316340" y="9368954"/>
            <a:ext cx="3850581" cy="3865900"/>
            <a:chOff x="14123485" y="7847567"/>
            <a:chExt cx="8904465" cy="1793707"/>
          </a:xfrm>
        </xdr:grpSpPr>
        <xdr:sp macro="" textlink="">
          <xdr:nvSpPr>
            <xdr:cNvPr id="4" name="Rectangle 3"/>
            <xdr:cNvSpPr/>
          </xdr:nvSpPr>
          <xdr:spPr>
            <a:xfrm>
              <a:off x="14123485" y="7847567"/>
              <a:ext cx="8904465" cy="1793707"/>
            </a:xfrm>
            <a:prstGeom prst="rect">
              <a:avLst/>
            </a:prstGeom>
            <a:solidFill>
              <a:schemeClr val="accent6">
                <a:alpha val="50000"/>
              </a:schemeClr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" name="Rectangle 4"/>
            <xdr:cNvSpPr/>
          </xdr:nvSpPr>
          <xdr:spPr>
            <a:xfrm>
              <a:off x="15070058" y="7984144"/>
              <a:ext cx="6768550" cy="209376"/>
            </a:xfrm>
            <a:prstGeom prst="rect">
              <a:avLst/>
            </a:prstGeom>
            <a:ln w="57150">
              <a:headEnd type="none" w="med" len="med"/>
              <a:tailEnd type="none" w="med" len="med"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1"/>
                <a:t>Control</a:t>
              </a:r>
              <a:r>
                <a:rPr lang="en-US" sz="1800" b="1" baseline="0"/>
                <a:t> Panel</a:t>
              </a:r>
              <a:endParaRPr lang="en-US" sz="1800" b="1"/>
            </a:p>
          </xdr:txBody>
        </xdr:sp>
      </xdr:grpSp>
      <xdr:grpSp>
        <xdr:nvGrpSpPr>
          <xdr:cNvPr id="6" name="Group 5"/>
          <xdr:cNvGrpSpPr/>
        </xdr:nvGrpSpPr>
        <xdr:grpSpPr>
          <a:xfrm>
            <a:off x="6713416" y="10537778"/>
            <a:ext cx="3130757" cy="2542410"/>
            <a:chOff x="2502248" y="9809136"/>
            <a:chExt cx="3544495" cy="2792252"/>
          </a:xfrm>
        </xdr:grpSpPr>
        <xdr:sp macro="[0]!UpdatePolicy" textlink="">
          <xdr:nvSpPr>
            <xdr:cNvPr id="3" name="Rectangle 2"/>
            <xdr:cNvSpPr/>
          </xdr:nvSpPr>
          <xdr:spPr>
            <a:xfrm>
              <a:off x="2502248" y="9809136"/>
              <a:ext cx="3435145" cy="848591"/>
            </a:xfrm>
            <a:prstGeom prst="rect">
              <a:avLst/>
            </a:prstGeom>
            <a:ln>
              <a:noFill/>
            </a:ln>
            <a:effectLst>
              <a:outerShdw blurRad="107950" dist="12700" dir="5400000" algn="ctr">
                <a:srgbClr val="000000"/>
              </a:outerShdw>
            </a:effectLst>
            <a:scene3d>
              <a:camera prst="orthographicFront">
                <a:rot lat="0" lon="0" rev="0"/>
              </a:camera>
              <a:lightRig rig="soft" dir="t">
                <a:rot lat="0" lon="0" rev="0"/>
              </a:lightRig>
            </a:scene3d>
            <a:sp3d contourW="44450" prstMaterial="matte">
              <a:bevelT w="63500" h="63500" prst="artDeco"/>
              <a:contourClr>
                <a:srgbClr val="FFFFFF"/>
              </a:contourClr>
            </a:sp3d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 cap="none" spc="0">
                  <a:ln w="0"/>
                  <a:solidFill>
                    <a:schemeClr val="tx1"/>
                  </a:solidFill>
                  <a:effectLst>
                    <a:outerShdw blurRad="38100" dist="25400" dir="5400000" algn="ctr" rotWithShape="0">
                      <a:srgbClr val="6E747A">
                        <a:alpha val="43000"/>
                      </a:srgbClr>
                    </a:outerShdw>
                  </a:effectLst>
                </a:rPr>
                <a:t>Update</a:t>
              </a:r>
              <a:r>
                <a:rPr lang="en-US" sz="1600" b="1" cap="none" spc="0" baseline="0">
                  <a:ln w="0"/>
                  <a:solidFill>
                    <a:schemeClr val="tx1"/>
                  </a:solidFill>
                  <a:effectLst>
                    <a:outerShdw blurRad="38100" dist="25400" dir="5400000" algn="ctr" rotWithShape="0">
                      <a:srgbClr val="6E747A">
                        <a:alpha val="43000"/>
                      </a:srgbClr>
                    </a:outerShdw>
                  </a:effectLst>
                </a:rPr>
                <a:t> Policy</a:t>
              </a:r>
              <a:endParaRPr lang="en-US" sz="1600" b="1" cap="none" spc="0">
                <a:ln w="0"/>
                <a:solidFill>
                  <a:schemeClr val="tx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endParaRPr>
            </a:p>
          </xdr:txBody>
        </xdr:sp>
        <xdr:sp macro="[0]!toOrderManagementSheet" textlink="">
          <xdr:nvSpPr>
            <xdr:cNvPr id="2" name="Right Arrow 1"/>
            <xdr:cNvSpPr/>
          </xdr:nvSpPr>
          <xdr:spPr>
            <a:xfrm>
              <a:off x="2628949" y="10876849"/>
              <a:ext cx="3417794" cy="1724539"/>
            </a:xfrm>
            <a:prstGeom prst="rightArrow">
              <a:avLst/>
            </a:prstGeom>
            <a:ln>
              <a:noFill/>
            </a:ln>
            <a:effectLst>
              <a:outerShdw blurRad="107950" dist="12700" dir="5400000" algn="ctr">
                <a:srgbClr val="000000"/>
              </a:outerShdw>
            </a:effectLst>
            <a:scene3d>
              <a:camera prst="orthographicFront">
                <a:rot lat="0" lon="0" rev="0"/>
              </a:camera>
              <a:lightRig rig="soft" dir="t">
                <a:rot lat="0" lon="0" rev="0"/>
              </a:lightRig>
            </a:scene3d>
            <a:sp3d contourW="44450" prstMaterial="matte">
              <a:bevelT w="63500" h="63500" prst="artDeco"/>
              <a:contourClr>
                <a:srgbClr val="FFFFFF"/>
              </a:contourClr>
            </a:sp3d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 baseline="0"/>
                <a:t>Move To Order Management Sheet</a:t>
              </a:r>
              <a:endParaRPr lang="en-US" sz="1600" b="1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438693</xdr:rowOff>
    </xdr:from>
    <xdr:to>
      <xdr:col>2</xdr:col>
      <xdr:colOff>0</xdr:colOff>
      <xdr:row>26</xdr:row>
      <xdr:rowOff>65314</xdr:rowOff>
    </xdr:to>
    <xdr:grpSp>
      <xdr:nvGrpSpPr>
        <xdr:cNvPr id="16" name="Group 15"/>
        <xdr:cNvGrpSpPr/>
      </xdr:nvGrpSpPr>
      <xdr:grpSpPr>
        <a:xfrm>
          <a:off x="0" y="2844436"/>
          <a:ext cx="4245429" cy="2478678"/>
          <a:chOff x="0" y="2844436"/>
          <a:chExt cx="4245429" cy="2478678"/>
        </a:xfrm>
      </xdr:grpSpPr>
      <xdr:sp macro="" textlink="">
        <xdr:nvSpPr>
          <xdr:cNvPr id="9" name="Rectangle 8"/>
          <xdr:cNvSpPr/>
        </xdr:nvSpPr>
        <xdr:spPr>
          <a:xfrm>
            <a:off x="0" y="2844436"/>
            <a:ext cx="4245429" cy="2478678"/>
          </a:xfrm>
          <a:prstGeom prst="rect">
            <a:avLst/>
          </a:prstGeom>
          <a:solidFill>
            <a:schemeClr val="accent6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4" name="Group 13"/>
          <xdr:cNvGrpSpPr/>
        </xdr:nvGrpSpPr>
        <xdr:grpSpPr>
          <a:xfrm>
            <a:off x="381848" y="3533448"/>
            <a:ext cx="3444517" cy="1550180"/>
            <a:chOff x="381848" y="3533448"/>
            <a:chExt cx="3444517" cy="1550180"/>
          </a:xfrm>
        </xdr:grpSpPr>
        <xdr:sp macro="[0]!CallUserForm" textlink="">
          <xdr:nvSpPr>
            <xdr:cNvPr id="2" name="Rectangle 1"/>
            <xdr:cNvSpPr/>
          </xdr:nvSpPr>
          <xdr:spPr>
            <a:xfrm>
              <a:off x="381848" y="3541433"/>
              <a:ext cx="1599352" cy="724391"/>
            </a:xfrm>
            <a:prstGeom prst="rect">
              <a:avLst/>
            </a:prstGeom>
            <a:ln>
              <a:noFill/>
            </a:ln>
            <a:effectLst>
              <a:outerShdw blurRad="107950" dist="12700" dir="5400000" algn="ctr">
                <a:srgbClr val="000000"/>
              </a:outerShdw>
            </a:effectLst>
            <a:scene3d>
              <a:camera prst="orthographicFront">
                <a:rot lat="0" lon="0" rev="0"/>
              </a:camera>
              <a:lightRig rig="soft" dir="t">
                <a:rot lat="0" lon="0" rev="0"/>
              </a:lightRig>
            </a:scene3d>
            <a:sp3d contourW="44450" prstMaterial="matte">
              <a:bevelT w="63500" h="63500" prst="artDeco"/>
              <a:contourClr>
                <a:srgbClr val="FFFFFF"/>
              </a:contourClr>
            </a:sp3d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 i="0"/>
                <a:t>Insert</a:t>
              </a:r>
              <a:r>
                <a:rPr lang="en-US" sz="1600" b="1" i="0" baseline="0"/>
                <a:t> Record</a:t>
              </a:r>
            </a:p>
          </xdr:txBody>
        </xdr:sp>
        <xdr:sp macro="[0]!UpdateChart" textlink="">
          <xdr:nvSpPr>
            <xdr:cNvPr id="21" name="Rectangle 20"/>
            <xdr:cNvSpPr/>
          </xdr:nvSpPr>
          <xdr:spPr>
            <a:xfrm>
              <a:off x="2231065" y="3533448"/>
              <a:ext cx="1589821" cy="724392"/>
            </a:xfrm>
            <a:prstGeom prst="rect">
              <a:avLst/>
            </a:prstGeom>
            <a:ln>
              <a:noFill/>
            </a:ln>
            <a:effectLst>
              <a:outerShdw blurRad="107950" dist="12700" dir="5400000" algn="ctr">
                <a:srgbClr val="000000"/>
              </a:outerShdw>
            </a:effectLst>
            <a:scene3d>
              <a:camera prst="orthographicFront">
                <a:rot lat="0" lon="0" rev="0"/>
              </a:camera>
              <a:lightRig rig="soft" dir="t">
                <a:rot lat="0" lon="0" rev="0"/>
              </a:lightRig>
            </a:scene3d>
            <a:sp3d contourW="44450" prstMaterial="matte">
              <a:bevelT w="63500" h="63500" prst="artDeco"/>
              <a:contourClr>
                <a:srgbClr val="FFFFFF"/>
              </a:contourClr>
            </a:sp3d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 i="0" baseline="0"/>
                <a:t>Update Chart</a:t>
              </a:r>
            </a:p>
          </xdr:txBody>
        </xdr:sp>
        <xdr:sp macro="[0]!ResetAllRecord" textlink="">
          <xdr:nvSpPr>
            <xdr:cNvPr id="4" name="Rectangle 3"/>
            <xdr:cNvSpPr/>
          </xdr:nvSpPr>
          <xdr:spPr>
            <a:xfrm>
              <a:off x="2209800" y="4385435"/>
              <a:ext cx="1616565" cy="698193"/>
            </a:xfrm>
            <a:prstGeom prst="rect">
              <a:avLst/>
            </a:prstGeom>
            <a:ln>
              <a:noFill/>
            </a:ln>
            <a:effectLst>
              <a:outerShdw blurRad="107950" dist="12700" dir="5400000" algn="ctr">
                <a:srgbClr val="000000"/>
              </a:outerShdw>
            </a:effectLst>
            <a:scene3d>
              <a:camera prst="orthographicFront">
                <a:rot lat="0" lon="0" rev="0"/>
              </a:camera>
              <a:lightRig rig="soft" dir="t">
                <a:rot lat="0" lon="0" rev="0"/>
              </a:lightRig>
            </a:scene3d>
            <a:sp3d contourW="44450" prstMaterial="matte">
              <a:bevelT w="63500" h="63500" prst="artDeco"/>
              <a:contourClr>
                <a:srgbClr val="FFFFFF"/>
              </a:contourClr>
            </a:sp3d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 i="0"/>
                <a:t>Delete All</a:t>
              </a:r>
              <a:r>
                <a:rPr lang="en-US" sz="1600" b="1" i="0" baseline="0"/>
                <a:t> </a:t>
              </a:r>
            </a:p>
          </xdr:txBody>
        </xdr:sp>
        <xdr:sp macro="[0]!CreateChart" textlink="">
          <xdr:nvSpPr>
            <xdr:cNvPr id="23" name="Rectangle 22"/>
            <xdr:cNvSpPr/>
          </xdr:nvSpPr>
          <xdr:spPr>
            <a:xfrm>
              <a:off x="404430" y="4386943"/>
              <a:ext cx="1586760" cy="685801"/>
            </a:xfrm>
            <a:prstGeom prst="rect">
              <a:avLst/>
            </a:prstGeom>
            <a:ln>
              <a:noFill/>
            </a:ln>
            <a:effectLst>
              <a:outerShdw blurRad="107950" dist="12700" dir="5400000" algn="ctr">
                <a:srgbClr val="000000"/>
              </a:outerShdw>
            </a:effectLst>
            <a:scene3d>
              <a:camera prst="orthographicFront">
                <a:rot lat="0" lon="0" rev="0"/>
              </a:camera>
              <a:lightRig rig="soft" dir="t">
                <a:rot lat="0" lon="0" rev="0"/>
              </a:lightRig>
            </a:scene3d>
            <a:sp3d contourW="44450" prstMaterial="matte">
              <a:bevelT w="63500" h="63500" prst="artDeco"/>
              <a:contourClr>
                <a:srgbClr val="FFFFFF"/>
              </a:contourClr>
            </a:sp3d>
          </xdr:spPr>
          <xdr:style>
            <a:lnRef idx="1">
              <a:schemeClr val="accent6"/>
            </a:lnRef>
            <a:fillRef idx="2">
              <a:schemeClr val="accent6"/>
            </a:fillRef>
            <a:effectRef idx="1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 i="0" baseline="0"/>
                <a:t>Create Chart</a:t>
              </a:r>
            </a:p>
          </xdr:txBody>
        </xdr:sp>
      </xdr:grpSp>
      <xdr:sp macro="" textlink="">
        <xdr:nvSpPr>
          <xdr:cNvPr id="6" name="Rectangle 5"/>
          <xdr:cNvSpPr/>
        </xdr:nvSpPr>
        <xdr:spPr>
          <a:xfrm>
            <a:off x="439660" y="3006831"/>
            <a:ext cx="3297420" cy="299151"/>
          </a:xfrm>
          <a:prstGeom prst="rect">
            <a:avLst/>
          </a:prstGeom>
          <a:ln w="57150">
            <a:headEnd type="none" w="med" len="med"/>
            <a:tailEnd type="none" w="med" len="med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Control</a:t>
            </a:r>
            <a:r>
              <a:rPr lang="en-US" sz="1600" b="1" baseline="0"/>
              <a:t> Panel</a:t>
            </a:r>
            <a:endParaRPr lang="en-US" sz="1600" b="1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2276" cy="627993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3"/>
  <sheetViews>
    <sheetView tabSelected="1" topLeftCell="A4" zoomScale="55" zoomScaleNormal="55" workbookViewId="0">
      <selection activeCell="M18" sqref="M18"/>
    </sheetView>
  </sheetViews>
  <sheetFormatPr defaultRowHeight="14.4" x14ac:dyDescent="0.3"/>
  <cols>
    <col min="1" max="1" width="43.33203125" customWidth="1"/>
    <col min="2" max="2" width="45.21875" customWidth="1"/>
    <col min="3" max="3" width="63.77734375" bestFit="1" customWidth="1"/>
    <col min="4" max="4" width="34.44140625" bestFit="1" customWidth="1"/>
    <col min="5" max="5" width="13.6640625" customWidth="1"/>
    <col min="6" max="6" width="13.33203125" customWidth="1"/>
  </cols>
  <sheetData>
    <row r="1" spans="1:5" ht="15" customHeight="1" thickBot="1" x14ac:dyDescent="0.35">
      <c r="A1" s="117" t="s">
        <v>119</v>
      </c>
      <c r="B1" s="118"/>
      <c r="C1" s="111" t="s">
        <v>47</v>
      </c>
      <c r="D1" s="112"/>
      <c r="E1" s="113"/>
    </row>
    <row r="2" spans="1:5" ht="14.4" customHeight="1" x14ac:dyDescent="0.3">
      <c r="A2" s="119"/>
      <c r="B2" s="120"/>
      <c r="C2" s="23" t="s">
        <v>1</v>
      </c>
      <c r="D2" s="22" t="s">
        <v>23</v>
      </c>
      <c r="E2" s="24" t="s">
        <v>33</v>
      </c>
    </row>
    <row r="3" spans="1:5" ht="58.8" customHeight="1" thickBot="1" x14ac:dyDescent="0.35">
      <c r="A3" s="119"/>
      <c r="B3" s="120"/>
      <c r="C3" s="25" t="s">
        <v>2</v>
      </c>
      <c r="D3" s="12" t="s">
        <v>18</v>
      </c>
      <c r="E3" s="26" t="s">
        <v>34</v>
      </c>
    </row>
    <row r="4" spans="1:5" ht="23.4" customHeight="1" thickBot="1" x14ac:dyDescent="0.35">
      <c r="A4" s="111" t="s">
        <v>48</v>
      </c>
      <c r="B4" s="113"/>
      <c r="C4" s="25" t="s">
        <v>11</v>
      </c>
      <c r="D4" s="12" t="s">
        <v>58</v>
      </c>
      <c r="E4" s="27"/>
    </row>
    <row r="5" spans="1:5" x14ac:dyDescent="0.3">
      <c r="A5" s="20" t="s">
        <v>155</v>
      </c>
      <c r="B5" s="21" t="s">
        <v>121</v>
      </c>
      <c r="C5" s="25" t="s">
        <v>3</v>
      </c>
      <c r="D5" s="12" t="s">
        <v>22</v>
      </c>
      <c r="E5" s="27" t="s">
        <v>32</v>
      </c>
    </row>
    <row r="6" spans="1:5" x14ac:dyDescent="0.3">
      <c r="A6" s="20" t="s">
        <v>12</v>
      </c>
      <c r="B6" s="21">
        <v>1200</v>
      </c>
      <c r="C6" s="71" t="s">
        <v>144</v>
      </c>
      <c r="D6" s="72" t="s">
        <v>145</v>
      </c>
      <c r="E6" s="27" t="s">
        <v>32</v>
      </c>
    </row>
    <row r="7" spans="1:5" x14ac:dyDescent="0.3">
      <c r="A7" s="13" t="s">
        <v>13</v>
      </c>
      <c r="B7" s="14">
        <v>115</v>
      </c>
      <c r="C7" s="25" t="s">
        <v>5</v>
      </c>
      <c r="D7" s="12" t="s">
        <v>19</v>
      </c>
      <c r="E7" s="27" t="s">
        <v>32</v>
      </c>
    </row>
    <row r="8" spans="1:5" x14ac:dyDescent="0.3">
      <c r="A8" s="13" t="s">
        <v>112</v>
      </c>
      <c r="B8" s="14">
        <v>2</v>
      </c>
      <c r="C8" s="25" t="s">
        <v>4</v>
      </c>
      <c r="D8" s="12" t="s">
        <v>20</v>
      </c>
      <c r="E8" s="27" t="s">
        <v>32</v>
      </c>
    </row>
    <row r="9" spans="1:5" x14ac:dyDescent="0.3">
      <c r="A9" s="13" t="s">
        <v>113</v>
      </c>
      <c r="B9" s="14">
        <v>0.5</v>
      </c>
      <c r="C9" s="25" t="s">
        <v>6</v>
      </c>
      <c r="D9" s="12" t="s">
        <v>17</v>
      </c>
      <c r="E9" s="27" t="s">
        <v>24</v>
      </c>
    </row>
    <row r="10" spans="1:5" x14ac:dyDescent="0.3">
      <c r="A10" s="13" t="s">
        <v>14</v>
      </c>
      <c r="B10" s="15">
        <v>0.15</v>
      </c>
      <c r="C10" s="25" t="s">
        <v>9</v>
      </c>
      <c r="D10" s="12" t="s">
        <v>21</v>
      </c>
      <c r="E10" s="27"/>
    </row>
    <row r="11" spans="1:5" x14ac:dyDescent="0.3">
      <c r="A11" s="13" t="s">
        <v>4</v>
      </c>
      <c r="B11" s="14">
        <v>57</v>
      </c>
      <c r="C11" s="25" t="s">
        <v>114</v>
      </c>
      <c r="D11" s="12" t="s">
        <v>115</v>
      </c>
      <c r="E11" s="27" t="s">
        <v>26</v>
      </c>
    </row>
    <row r="12" spans="1:5" x14ac:dyDescent="0.3">
      <c r="A12" s="16" t="s">
        <v>50</v>
      </c>
      <c r="B12" s="14">
        <f>B11*B10</f>
        <v>8.5499999999999989</v>
      </c>
      <c r="C12" s="71" t="s">
        <v>116</v>
      </c>
      <c r="D12" s="72" t="s">
        <v>117</v>
      </c>
      <c r="E12" s="27" t="s">
        <v>26</v>
      </c>
    </row>
    <row r="13" spans="1:5" x14ac:dyDescent="0.3">
      <c r="A13" s="16" t="s">
        <v>79</v>
      </c>
      <c r="B13" s="14">
        <v>45</v>
      </c>
      <c r="C13" s="25" t="s">
        <v>8</v>
      </c>
      <c r="D13" s="12" t="s">
        <v>28</v>
      </c>
      <c r="E13" s="27" t="s">
        <v>31</v>
      </c>
    </row>
    <row r="14" spans="1:5" x14ac:dyDescent="0.3">
      <c r="A14" s="13" t="s">
        <v>5</v>
      </c>
      <c r="B14" s="14">
        <v>415</v>
      </c>
      <c r="C14" s="25" t="s">
        <v>27</v>
      </c>
      <c r="D14" s="12" t="s">
        <v>29</v>
      </c>
      <c r="E14" s="27" t="s">
        <v>31</v>
      </c>
    </row>
    <row r="15" spans="1:5" x14ac:dyDescent="0.3">
      <c r="A15" s="13" t="s">
        <v>6</v>
      </c>
      <c r="B15" s="15">
        <v>0.95</v>
      </c>
      <c r="C15" s="25" t="s">
        <v>0</v>
      </c>
      <c r="D15" s="12" t="s">
        <v>30</v>
      </c>
      <c r="E15" s="27" t="s">
        <v>31</v>
      </c>
    </row>
    <row r="16" spans="1:5" x14ac:dyDescent="0.3">
      <c r="A16" s="13" t="s">
        <v>9</v>
      </c>
      <c r="B16" s="17">
        <f>_xlfn.NORM.S.INV(B15)</f>
        <v>1.6448536269514715</v>
      </c>
      <c r="C16" s="25" t="s">
        <v>35</v>
      </c>
      <c r="D16" s="12" t="s">
        <v>36</v>
      </c>
      <c r="E16" s="27" t="s">
        <v>37</v>
      </c>
    </row>
    <row r="17" spans="1:6" x14ac:dyDescent="0.3">
      <c r="A17" s="13" t="s">
        <v>51</v>
      </c>
      <c r="B17" s="14"/>
      <c r="C17" s="25" t="s">
        <v>146</v>
      </c>
      <c r="D17" s="12" t="s">
        <v>148</v>
      </c>
      <c r="E17" s="27" t="s">
        <v>149</v>
      </c>
    </row>
    <row r="18" spans="1:6" x14ac:dyDescent="0.3">
      <c r="A18" s="13" t="s">
        <v>7</v>
      </c>
      <c r="B18" s="14"/>
      <c r="C18" s="25" t="s">
        <v>40</v>
      </c>
      <c r="D18" s="12" t="s">
        <v>41</v>
      </c>
      <c r="E18" s="27" t="s">
        <v>31</v>
      </c>
    </row>
    <row r="19" spans="1:6" ht="15" thickBot="1" x14ac:dyDescent="0.35">
      <c r="A19" s="18" t="s">
        <v>59</v>
      </c>
      <c r="B19" s="19">
        <v>7.0000000000000007E-2</v>
      </c>
      <c r="C19" s="25" t="s">
        <v>42</v>
      </c>
      <c r="D19" s="12" t="s">
        <v>43</v>
      </c>
      <c r="E19" s="27" t="s">
        <v>31</v>
      </c>
    </row>
    <row r="20" spans="1:6" ht="15" thickBot="1" x14ac:dyDescent="0.35">
      <c r="C20" s="28" t="s">
        <v>44</v>
      </c>
      <c r="D20" s="29" t="s">
        <v>129</v>
      </c>
      <c r="E20" s="30" t="s">
        <v>31</v>
      </c>
    </row>
    <row r="22" spans="1:6" ht="15" thickBot="1" x14ac:dyDescent="0.35"/>
    <row r="23" spans="1:6" ht="16.2" thickBot="1" x14ac:dyDescent="0.35">
      <c r="A23" s="109" t="s">
        <v>151</v>
      </c>
      <c r="B23" s="116"/>
      <c r="C23" s="109" t="s">
        <v>153</v>
      </c>
      <c r="D23" s="110"/>
      <c r="E23" s="2"/>
      <c r="F23" s="2"/>
    </row>
    <row r="24" spans="1:6" x14ac:dyDescent="0.3">
      <c r="A24" s="4" t="s">
        <v>60</v>
      </c>
      <c r="B24" s="86">
        <f>IF(MOD(B41,100)=0,B41,ROUND(B41/100,0)*100)</f>
        <v>1200</v>
      </c>
      <c r="C24" s="31" t="s">
        <v>53</v>
      </c>
      <c r="D24" s="89">
        <f>B6*B11*12</f>
        <v>820800</v>
      </c>
      <c r="E24" s="1"/>
      <c r="F24" s="2"/>
    </row>
    <row r="25" spans="1:6" x14ac:dyDescent="0.3">
      <c r="A25" s="6" t="s">
        <v>15</v>
      </c>
      <c r="B25" s="87">
        <f>B10/12</f>
        <v>1.2499999999999999E-2</v>
      </c>
      <c r="C25" s="33" t="s">
        <v>54</v>
      </c>
      <c r="D25" s="34">
        <f>B14*D41</f>
        <v>4980</v>
      </c>
      <c r="F25" s="2"/>
    </row>
    <row r="26" spans="1:6" x14ac:dyDescent="0.3">
      <c r="A26" s="8" t="s">
        <v>61</v>
      </c>
      <c r="B26" s="88">
        <f>SQRT(2*B14*B6/(B40*B11))</f>
        <v>1182.3259858609661</v>
      </c>
      <c r="C26" s="39" t="s">
        <v>118</v>
      </c>
      <c r="D26" s="40">
        <f>B6*12/B24</f>
        <v>12</v>
      </c>
    </row>
    <row r="27" spans="1:6" x14ac:dyDescent="0.3">
      <c r="A27" s="114" t="s">
        <v>62</v>
      </c>
      <c r="B27" s="115"/>
      <c r="C27" s="33" t="s">
        <v>55</v>
      </c>
      <c r="D27" s="34">
        <f>B12*D28/2</f>
        <v>5129.9999999999991</v>
      </c>
    </row>
    <row r="28" spans="1:6" x14ac:dyDescent="0.3">
      <c r="A28" s="93" t="s">
        <v>147</v>
      </c>
      <c r="B28" s="95">
        <f>B24/B6</f>
        <v>1</v>
      </c>
      <c r="C28" s="39" t="s">
        <v>102</v>
      </c>
      <c r="D28" s="40">
        <f>B24</f>
        <v>1200</v>
      </c>
    </row>
    <row r="29" spans="1:6" ht="28.8" x14ac:dyDescent="0.3">
      <c r="A29" s="94" t="s">
        <v>73</v>
      </c>
      <c r="B29" s="95">
        <f>B6/4*B8</f>
        <v>600</v>
      </c>
      <c r="C29" s="33" t="s">
        <v>57</v>
      </c>
      <c r="D29" s="34">
        <f>D30*B19*B11</f>
        <v>2394.0000000000005</v>
      </c>
    </row>
    <row r="30" spans="1:6" ht="14.4" customHeight="1" x14ac:dyDescent="0.3">
      <c r="A30" s="121" t="s">
        <v>156</v>
      </c>
      <c r="B30" s="122"/>
      <c r="C30" s="39" t="s">
        <v>73</v>
      </c>
      <c r="D30" s="40">
        <f>B6/4*B8</f>
        <v>600</v>
      </c>
    </row>
    <row r="31" spans="1:6" ht="14.4" customHeight="1" x14ac:dyDescent="0.3">
      <c r="A31" s="123" t="s">
        <v>159</v>
      </c>
      <c r="B31" s="124"/>
      <c r="C31" s="97" t="s">
        <v>82</v>
      </c>
      <c r="D31" s="98">
        <f>B13*D35*D34*D26</f>
        <v>36757.297760722751</v>
      </c>
    </row>
    <row r="32" spans="1:6" ht="15" thickBot="1" x14ac:dyDescent="0.35">
      <c r="A32" s="107" t="s">
        <v>46</v>
      </c>
      <c r="B32" s="108"/>
      <c r="C32" s="99" t="s">
        <v>6</v>
      </c>
      <c r="D32" s="15">
        <v>0.5</v>
      </c>
      <c r="E32" s="62"/>
    </row>
    <row r="33" spans="1:5" x14ac:dyDescent="0.3">
      <c r="C33" s="99" t="s">
        <v>152</v>
      </c>
      <c r="D33" s="17">
        <f>_xlfn.NORM.S.INV(D32)</f>
        <v>0</v>
      </c>
      <c r="E33" s="80"/>
    </row>
    <row r="34" spans="1:5" x14ac:dyDescent="0.3">
      <c r="C34" s="39" t="s">
        <v>92</v>
      </c>
      <c r="D34" s="92">
        <f>_xlfn.NORM.S.DIST(D33,0)-D33*(1-_xlfn.NORM.S.DIST(D33,1))</f>
        <v>0.3989422804014327</v>
      </c>
    </row>
    <row r="35" spans="1:5" ht="15" thickBot="1" x14ac:dyDescent="0.35">
      <c r="C35" s="90" t="s">
        <v>49</v>
      </c>
      <c r="D35" s="91">
        <f>SQRT(B8*(B7/SQRT(4))^2+(B6/4)^2*B9^2)</f>
        <v>170.62385530751556</v>
      </c>
    </row>
    <row r="36" spans="1:5" x14ac:dyDescent="0.3">
      <c r="D36" s="63"/>
    </row>
    <row r="37" spans="1:5" ht="15" thickBot="1" x14ac:dyDescent="0.35"/>
    <row r="38" spans="1:5" ht="16.2" thickBot="1" x14ac:dyDescent="0.35">
      <c r="A38" s="109" t="s">
        <v>110</v>
      </c>
      <c r="B38" s="110"/>
      <c r="C38" s="109" t="s">
        <v>154</v>
      </c>
      <c r="D38" s="110"/>
    </row>
    <row r="39" spans="1:5" x14ac:dyDescent="0.3">
      <c r="A39" s="4" t="s">
        <v>60</v>
      </c>
      <c r="B39" s="5">
        <f>IF(MOD(B41,100)=0,B41,ROUND(B41/100,0)*100)</f>
        <v>1200</v>
      </c>
      <c r="C39" s="31" t="s">
        <v>53</v>
      </c>
      <c r="D39" s="32">
        <f>B6*B11*12</f>
        <v>820800</v>
      </c>
    </row>
    <row r="40" spans="1:5" x14ac:dyDescent="0.3">
      <c r="A40" s="6" t="s">
        <v>15</v>
      </c>
      <c r="B40" s="7">
        <f>B10/12</f>
        <v>1.2499999999999999E-2</v>
      </c>
      <c r="C40" s="33" t="s">
        <v>54</v>
      </c>
      <c r="D40" s="34">
        <f>B14*D41</f>
        <v>4980</v>
      </c>
    </row>
    <row r="41" spans="1:5" x14ac:dyDescent="0.3">
      <c r="A41" s="8" t="s">
        <v>61</v>
      </c>
      <c r="B41" s="9">
        <f>SQRT(2*B14*B6/(B40*B11))</f>
        <v>1182.3259858609661</v>
      </c>
      <c r="C41" s="73" t="s">
        <v>118</v>
      </c>
      <c r="D41" s="40">
        <f>B6*12/B39</f>
        <v>12</v>
      </c>
    </row>
    <row r="42" spans="1:5" x14ac:dyDescent="0.3">
      <c r="A42" s="125" t="s">
        <v>62</v>
      </c>
      <c r="B42" s="126"/>
      <c r="C42" s="33" t="s">
        <v>55</v>
      </c>
      <c r="D42" s="34">
        <f>B12*D43/2</f>
        <v>5129.9999999999991</v>
      </c>
    </row>
    <row r="43" spans="1:5" x14ac:dyDescent="0.3">
      <c r="A43" s="10" t="s">
        <v>38</v>
      </c>
      <c r="B43" s="3">
        <f>SUM(B44+B46)</f>
        <v>880.65126724701008</v>
      </c>
      <c r="C43" s="39" t="s">
        <v>102</v>
      </c>
      <c r="D43" s="40">
        <f>B39</f>
        <v>1200</v>
      </c>
    </row>
    <row r="44" spans="1:5" x14ac:dyDescent="0.3">
      <c r="A44" s="6" t="s">
        <v>150</v>
      </c>
      <c r="B44" s="11">
        <f>B6/4*B8</f>
        <v>600</v>
      </c>
      <c r="C44" s="33" t="s">
        <v>143</v>
      </c>
      <c r="D44" s="35">
        <f>B12*B46</f>
        <v>2399.5683349619353</v>
      </c>
    </row>
    <row r="45" spans="1:5" x14ac:dyDescent="0.3">
      <c r="A45" s="6" t="s">
        <v>49</v>
      </c>
      <c r="B45" s="11">
        <f>SQRT(B8*(B7/SQRT(4))^2+(B6/4)^2*B9^2)</f>
        <v>170.62385530751556</v>
      </c>
      <c r="C45" s="33" t="s">
        <v>57</v>
      </c>
      <c r="D45" s="34">
        <f>D46*B19*B11</f>
        <v>2394.0000000000005</v>
      </c>
    </row>
    <row r="46" spans="1:5" x14ac:dyDescent="0.3">
      <c r="A46" s="6" t="s">
        <v>39</v>
      </c>
      <c r="B46" s="11">
        <f>B16*B45</f>
        <v>280.65126724701003</v>
      </c>
      <c r="C46" s="81" t="s">
        <v>73</v>
      </c>
      <c r="D46" s="82">
        <f>B44</f>
        <v>600</v>
      </c>
    </row>
    <row r="47" spans="1:5" ht="17.399999999999999" x14ac:dyDescent="0.35">
      <c r="A47" s="105" t="s">
        <v>157</v>
      </c>
      <c r="B47" s="106"/>
      <c r="C47" s="85" t="s">
        <v>82</v>
      </c>
      <c r="D47" s="96">
        <f>B13*B45*D48*D41</f>
        <v>1925.0120977765935</v>
      </c>
    </row>
    <row r="48" spans="1:5" ht="15" thickBot="1" x14ac:dyDescent="0.35">
      <c r="A48" s="107" t="s">
        <v>46</v>
      </c>
      <c r="B48" s="108"/>
      <c r="C48" s="83" t="s">
        <v>92</v>
      </c>
      <c r="D48" s="84">
        <f>_xlfn.NORM.S.DIST(B16,0)-B16*(1-_xlfn.NORM.S.DIST(B16,1))</f>
        <v>2.0892959027797683E-2</v>
      </c>
    </row>
    <row r="49" spans="3:4" x14ac:dyDescent="0.3">
      <c r="D49" s="62"/>
    </row>
    <row r="52" spans="3:4" x14ac:dyDescent="0.3">
      <c r="C52" s="62"/>
    </row>
    <row r="53" spans="3:4" x14ac:dyDescent="0.3">
      <c r="C53" s="171"/>
    </row>
  </sheetData>
  <mergeCells count="14">
    <mergeCell ref="A47:B47"/>
    <mergeCell ref="A48:B48"/>
    <mergeCell ref="C38:D38"/>
    <mergeCell ref="C1:E1"/>
    <mergeCell ref="A4:B4"/>
    <mergeCell ref="A38:B38"/>
    <mergeCell ref="C23:D23"/>
    <mergeCell ref="A27:B27"/>
    <mergeCell ref="A23:B23"/>
    <mergeCell ref="A32:B32"/>
    <mergeCell ref="A1:B3"/>
    <mergeCell ref="A30:B30"/>
    <mergeCell ref="A31:B31"/>
    <mergeCell ref="A42:B4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0"/>
  <sheetViews>
    <sheetView zoomScale="70" zoomScaleNormal="70" workbookViewId="0">
      <selection activeCell="B41" sqref="B41"/>
    </sheetView>
  </sheetViews>
  <sheetFormatPr defaultRowHeight="14.4" x14ac:dyDescent="0.3"/>
  <cols>
    <col min="1" max="1" width="37.6640625" bestFit="1" customWidth="1"/>
    <col min="2" max="2" width="42.33203125" customWidth="1"/>
    <col min="3" max="3" width="48.21875" bestFit="1" customWidth="1"/>
    <col min="4" max="4" width="34.44140625" bestFit="1" customWidth="1"/>
    <col min="5" max="5" width="36.6640625" bestFit="1" customWidth="1"/>
    <col min="6" max="6" width="13.88671875" bestFit="1" customWidth="1"/>
    <col min="7" max="7" width="36.88671875" bestFit="1" customWidth="1"/>
    <col min="8" max="8" width="6.6640625" bestFit="1" customWidth="1"/>
  </cols>
  <sheetData>
    <row r="1" spans="1:5" ht="18" customHeight="1" thickBot="1" x14ac:dyDescent="0.4">
      <c r="A1" s="117" t="s">
        <v>108</v>
      </c>
      <c r="B1" s="118"/>
      <c r="C1" s="131" t="s">
        <v>47</v>
      </c>
      <c r="D1" s="132"/>
      <c r="E1" s="133"/>
    </row>
    <row r="2" spans="1:5" x14ac:dyDescent="0.3">
      <c r="A2" s="119"/>
      <c r="B2" s="120"/>
      <c r="C2" s="23" t="s">
        <v>1</v>
      </c>
      <c r="D2" s="22" t="s">
        <v>23</v>
      </c>
      <c r="E2" s="24" t="s">
        <v>33</v>
      </c>
    </row>
    <row r="3" spans="1:5" x14ac:dyDescent="0.3">
      <c r="A3" s="119"/>
      <c r="B3" s="120"/>
      <c r="C3" s="25" t="s">
        <v>2</v>
      </c>
      <c r="D3" s="12" t="s">
        <v>18</v>
      </c>
      <c r="E3" s="26" t="s">
        <v>34</v>
      </c>
    </row>
    <row r="4" spans="1:5" ht="15" thickBot="1" x14ac:dyDescent="0.35">
      <c r="A4" s="136"/>
      <c r="B4" s="137"/>
      <c r="C4" s="25" t="s">
        <v>11</v>
      </c>
      <c r="D4" s="12" t="s">
        <v>58</v>
      </c>
      <c r="E4" s="27"/>
    </row>
    <row r="5" spans="1:5" ht="18" thickBot="1" x14ac:dyDescent="0.4">
      <c r="A5" s="131" t="s">
        <v>48</v>
      </c>
      <c r="B5" s="133"/>
      <c r="C5" s="25" t="s">
        <v>3</v>
      </c>
      <c r="D5" s="12" t="s">
        <v>22</v>
      </c>
      <c r="E5" s="27" t="s">
        <v>32</v>
      </c>
    </row>
    <row r="6" spans="1:5" x14ac:dyDescent="0.3">
      <c r="A6" s="20" t="s">
        <v>12</v>
      </c>
      <c r="B6" s="21">
        <v>3500</v>
      </c>
      <c r="C6" s="25" t="s">
        <v>5</v>
      </c>
      <c r="D6" s="12" t="s">
        <v>19</v>
      </c>
      <c r="E6" s="27" t="s">
        <v>32</v>
      </c>
    </row>
    <row r="7" spans="1:5" x14ac:dyDescent="0.3">
      <c r="A7" s="13" t="s">
        <v>13</v>
      </c>
      <c r="B7" s="14">
        <v>375</v>
      </c>
      <c r="C7" s="25" t="s">
        <v>4</v>
      </c>
      <c r="D7" s="12" t="s">
        <v>20</v>
      </c>
      <c r="E7" s="27" t="s">
        <v>32</v>
      </c>
    </row>
    <row r="8" spans="1:5" x14ac:dyDescent="0.3">
      <c r="A8" s="13" t="s">
        <v>14</v>
      </c>
      <c r="B8" s="15">
        <v>0.16</v>
      </c>
      <c r="C8" s="25" t="s">
        <v>6</v>
      </c>
      <c r="D8" s="12" t="s">
        <v>17</v>
      </c>
      <c r="E8" s="27" t="s">
        <v>24</v>
      </c>
    </row>
    <row r="9" spans="1:5" x14ac:dyDescent="0.3">
      <c r="A9" s="13" t="s">
        <v>4</v>
      </c>
      <c r="B9" s="14">
        <v>217</v>
      </c>
      <c r="C9" s="25" t="s">
        <v>9</v>
      </c>
      <c r="D9" s="12" t="s">
        <v>21</v>
      </c>
      <c r="E9" s="27"/>
    </row>
    <row r="10" spans="1:5" x14ac:dyDescent="0.3">
      <c r="A10" s="16" t="s">
        <v>50</v>
      </c>
      <c r="B10" s="14">
        <f>B9*B8</f>
        <v>34.72</v>
      </c>
      <c r="C10" s="25" t="s">
        <v>10</v>
      </c>
      <c r="D10" s="12" t="s">
        <v>25</v>
      </c>
      <c r="E10" s="27" t="s">
        <v>26</v>
      </c>
    </row>
    <row r="11" spans="1:5" x14ac:dyDescent="0.3">
      <c r="A11" s="13" t="s">
        <v>5</v>
      </c>
      <c r="B11" s="14">
        <v>1650</v>
      </c>
      <c r="C11" s="25" t="s">
        <v>8</v>
      </c>
      <c r="D11" s="12" t="s">
        <v>28</v>
      </c>
      <c r="E11" s="27" t="s">
        <v>31</v>
      </c>
    </row>
    <row r="12" spans="1:5" x14ac:dyDescent="0.3">
      <c r="A12" s="13" t="s">
        <v>6</v>
      </c>
      <c r="B12" s="15">
        <v>0.95</v>
      </c>
      <c r="C12" s="25" t="s">
        <v>27</v>
      </c>
      <c r="D12" s="12" t="s">
        <v>29</v>
      </c>
      <c r="E12" s="27" t="s">
        <v>31</v>
      </c>
    </row>
    <row r="13" spans="1:5" x14ac:dyDescent="0.3">
      <c r="A13" s="13" t="s">
        <v>9</v>
      </c>
      <c r="B13" s="17">
        <f>_xlfn.NORM.S.INV(B12)</f>
        <v>1.6448536269514715</v>
      </c>
      <c r="C13" s="25" t="s">
        <v>0</v>
      </c>
      <c r="D13" s="12" t="s">
        <v>30</v>
      </c>
      <c r="E13" s="27" t="s">
        <v>31</v>
      </c>
    </row>
    <row r="14" spans="1:5" x14ac:dyDescent="0.3">
      <c r="A14" s="13" t="s">
        <v>16</v>
      </c>
      <c r="B14" s="14">
        <v>3</v>
      </c>
      <c r="C14" s="25" t="s">
        <v>35</v>
      </c>
      <c r="D14" s="12" t="s">
        <v>36</v>
      </c>
      <c r="E14" s="27" t="s">
        <v>37</v>
      </c>
    </row>
    <row r="15" spans="1:5" x14ac:dyDescent="0.3">
      <c r="A15" s="13" t="s">
        <v>51</v>
      </c>
      <c r="B15" s="14"/>
      <c r="C15" s="25" t="s">
        <v>40</v>
      </c>
      <c r="D15" s="12" t="s">
        <v>41</v>
      </c>
      <c r="E15" s="27" t="s">
        <v>31</v>
      </c>
    </row>
    <row r="16" spans="1:5" x14ac:dyDescent="0.3">
      <c r="A16" s="13" t="s">
        <v>7</v>
      </c>
      <c r="B16" s="14"/>
      <c r="C16" s="25" t="s">
        <v>42</v>
      </c>
      <c r="D16" s="12" t="s">
        <v>43</v>
      </c>
      <c r="E16" s="27" t="s">
        <v>31</v>
      </c>
    </row>
    <row r="17" spans="1:5" x14ac:dyDescent="0.3">
      <c r="A17" s="13" t="s">
        <v>59</v>
      </c>
      <c r="B17" s="15">
        <v>0.08</v>
      </c>
      <c r="C17" s="25" t="s">
        <v>44</v>
      </c>
      <c r="D17" s="12" t="s">
        <v>45</v>
      </c>
      <c r="E17" s="27" t="s">
        <v>31</v>
      </c>
    </row>
    <row r="18" spans="1:5" ht="15" thickBot="1" x14ac:dyDescent="0.35">
      <c r="A18" s="66" t="s">
        <v>66</v>
      </c>
      <c r="B18" s="67">
        <v>4</v>
      </c>
      <c r="C18" s="68" t="s">
        <v>64</v>
      </c>
      <c r="D18" s="69" t="s">
        <v>65</v>
      </c>
      <c r="E18" s="70" t="s">
        <v>26</v>
      </c>
    </row>
    <row r="20" spans="1:5" ht="15" thickBot="1" x14ac:dyDescent="0.35"/>
    <row r="21" spans="1:5" ht="18" thickBot="1" x14ac:dyDescent="0.4">
      <c r="A21" s="138" t="s">
        <v>111</v>
      </c>
      <c r="B21" s="139"/>
      <c r="C21" s="134" t="s">
        <v>52</v>
      </c>
      <c r="D21" s="135"/>
    </row>
    <row r="22" spans="1:5" x14ac:dyDescent="0.3">
      <c r="A22" s="60" t="s">
        <v>67</v>
      </c>
      <c r="B22" s="61">
        <f>SUM(B24+B26)</f>
        <v>6940.9763075030378</v>
      </c>
      <c r="C22" s="31" t="s">
        <v>53</v>
      </c>
      <c r="D22" s="32">
        <f>B9*B6</f>
        <v>759500</v>
      </c>
    </row>
    <row r="23" spans="1:5" x14ac:dyDescent="0.3">
      <c r="A23" s="6" t="s">
        <v>68</v>
      </c>
      <c r="B23" s="38">
        <f>B18+B14</f>
        <v>7</v>
      </c>
      <c r="C23" s="33" t="s">
        <v>54</v>
      </c>
      <c r="D23" s="34">
        <f>B11*48/4</f>
        <v>19800</v>
      </c>
    </row>
    <row r="24" spans="1:5" x14ac:dyDescent="0.3">
      <c r="A24" s="6" t="s">
        <v>70</v>
      </c>
      <c r="B24" s="38">
        <f>B6/4*B23</f>
        <v>6125</v>
      </c>
      <c r="C24" s="33" t="s">
        <v>55</v>
      </c>
      <c r="D24" s="34">
        <f>B10*D25/2</f>
        <v>60760</v>
      </c>
    </row>
    <row r="25" spans="1:5" x14ac:dyDescent="0.3">
      <c r="A25" s="6" t="s">
        <v>69</v>
      </c>
      <c r="B25" s="38">
        <f>B7/SQRT(4)*SQRT(B23)</f>
        <v>496.07837082461077</v>
      </c>
      <c r="C25" s="39" t="s">
        <v>72</v>
      </c>
      <c r="D25" s="40">
        <f>B6/4*4</f>
        <v>3500</v>
      </c>
    </row>
    <row r="26" spans="1:5" x14ac:dyDescent="0.3">
      <c r="A26" s="6" t="s">
        <v>71</v>
      </c>
      <c r="B26" s="38">
        <f>B25*B13</f>
        <v>815.97630750303813</v>
      </c>
      <c r="C26" s="33" t="s">
        <v>56</v>
      </c>
      <c r="D26" s="41">
        <f>B26*B10</f>
        <v>28330.697396505482</v>
      </c>
    </row>
    <row r="27" spans="1:5" x14ac:dyDescent="0.3">
      <c r="A27" s="129" t="s">
        <v>101</v>
      </c>
      <c r="B27" s="130"/>
      <c r="C27" s="33" t="s">
        <v>57</v>
      </c>
      <c r="D27" s="34">
        <f>D28*B9*B17</f>
        <v>45570</v>
      </c>
    </row>
    <row r="28" spans="1:5" ht="19.2" customHeight="1" thickBot="1" x14ac:dyDescent="0.35">
      <c r="A28" s="127" t="s">
        <v>46</v>
      </c>
      <c r="B28" s="128"/>
      <c r="C28" s="36" t="s">
        <v>63</v>
      </c>
      <c r="D28" s="37">
        <f>B6/4*B14</f>
        <v>2625</v>
      </c>
    </row>
    <row r="29" spans="1:5" x14ac:dyDescent="0.3">
      <c r="D29" s="63"/>
      <c r="E29" s="63"/>
    </row>
    <row r="30" spans="1:5" x14ac:dyDescent="0.3">
      <c r="A30" s="1"/>
      <c r="B30" s="1"/>
    </row>
  </sheetData>
  <mergeCells count="7">
    <mergeCell ref="A28:B28"/>
    <mergeCell ref="A27:B27"/>
    <mergeCell ref="C1:E1"/>
    <mergeCell ref="A5:B5"/>
    <mergeCell ref="C21:D21"/>
    <mergeCell ref="A1:B4"/>
    <mergeCell ref="A21:B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6"/>
  <sheetViews>
    <sheetView zoomScale="70" zoomScaleNormal="70" workbookViewId="0">
      <selection activeCell="F12" activeCellId="3" sqref="F1:L1 F8:L8 F11:L11 F12:L12"/>
    </sheetView>
  </sheetViews>
  <sheetFormatPr defaultRowHeight="14.4" x14ac:dyDescent="0.3"/>
  <cols>
    <col min="1" max="1" width="40.77734375" customWidth="1"/>
    <col min="2" max="2" width="21.109375" customWidth="1"/>
    <col min="4" max="4" width="29.109375" customWidth="1"/>
    <col min="5" max="5" width="23.44140625" bestFit="1" customWidth="1"/>
    <col min="6" max="6" width="13.109375" customWidth="1"/>
    <col min="7" max="7" width="17.33203125" customWidth="1"/>
    <col min="8" max="12" width="10.77734375" bestFit="1" customWidth="1"/>
  </cols>
  <sheetData>
    <row r="1" spans="1:12" ht="21.6" thickBot="1" x14ac:dyDescent="0.45">
      <c r="A1" s="103" t="s">
        <v>120</v>
      </c>
      <c r="B1" s="104" t="s">
        <v>121</v>
      </c>
      <c r="D1" s="102" t="s">
        <v>160</v>
      </c>
      <c r="E1" s="155" t="s">
        <v>134</v>
      </c>
      <c r="F1" s="155">
        <v>45426</v>
      </c>
      <c r="G1" s="155">
        <v>45427</v>
      </c>
      <c r="H1" s="155">
        <v>45428</v>
      </c>
      <c r="I1" s="155">
        <v>45429</v>
      </c>
      <c r="J1" s="155">
        <v>45430</v>
      </c>
      <c r="K1" s="155">
        <v>45431</v>
      </c>
      <c r="L1" s="166">
        <v>45432</v>
      </c>
    </row>
    <row r="2" spans="1:12" ht="15" thickBot="1" x14ac:dyDescent="0.35">
      <c r="D2" s="75" t="s">
        <v>136</v>
      </c>
      <c r="E2" s="169">
        <v>0</v>
      </c>
      <c r="F2" s="169">
        <v>47</v>
      </c>
      <c r="G2" s="169">
        <v>35</v>
      </c>
      <c r="H2" s="169">
        <v>20</v>
      </c>
      <c r="I2" s="169">
        <v>30</v>
      </c>
      <c r="J2" s="169">
        <v>38</v>
      </c>
      <c r="K2" s="169">
        <v>42</v>
      </c>
      <c r="L2" s="168">
        <v>44</v>
      </c>
    </row>
    <row r="3" spans="1:12" ht="21" x14ac:dyDescent="0.4">
      <c r="A3" s="156" t="s">
        <v>133</v>
      </c>
      <c r="B3" s="157"/>
      <c r="D3" s="75" t="s">
        <v>142</v>
      </c>
      <c r="E3" s="169" t="s">
        <v>131</v>
      </c>
      <c r="F3" s="169" t="s">
        <v>131</v>
      </c>
      <c r="G3" s="169" t="s">
        <v>131</v>
      </c>
      <c r="H3" s="169" t="s">
        <v>131</v>
      </c>
      <c r="I3" s="169" t="s">
        <v>131</v>
      </c>
      <c r="J3" s="169" t="s">
        <v>131</v>
      </c>
      <c r="K3" s="169" t="s">
        <v>131</v>
      </c>
      <c r="L3" s="168" t="s">
        <v>131</v>
      </c>
    </row>
    <row r="4" spans="1:12" x14ac:dyDescent="0.3">
      <c r="A4" s="158" t="s">
        <v>130</v>
      </c>
      <c r="B4" s="159">
        <v>1200</v>
      </c>
      <c r="D4" s="74" t="s">
        <v>127</v>
      </c>
      <c r="E4" s="101">
        <v>718</v>
      </c>
      <c r="F4" s="101">
        <v>718</v>
      </c>
      <c r="G4" s="101">
        <v>671</v>
      </c>
      <c r="H4" s="101">
        <v>636</v>
      </c>
      <c r="I4" s="101">
        <v>616</v>
      </c>
      <c r="J4" s="101">
        <v>586</v>
      </c>
      <c r="K4" s="101">
        <v>548</v>
      </c>
      <c r="L4" s="74">
        <v>506</v>
      </c>
    </row>
    <row r="5" spans="1:12" x14ac:dyDescent="0.3">
      <c r="A5" s="160" t="s">
        <v>122</v>
      </c>
      <c r="B5" s="14">
        <v>881</v>
      </c>
      <c r="D5" s="74" t="s">
        <v>128</v>
      </c>
      <c r="E5" s="101">
        <v>0</v>
      </c>
      <c r="F5" s="101">
        <v>0</v>
      </c>
      <c r="G5" s="101">
        <v>1200</v>
      </c>
      <c r="H5" s="101">
        <v>1200</v>
      </c>
      <c r="I5" s="101">
        <v>1200</v>
      </c>
      <c r="J5" s="101">
        <v>1200</v>
      </c>
      <c r="K5" s="101">
        <v>1200</v>
      </c>
      <c r="L5" s="74">
        <v>1200</v>
      </c>
    </row>
    <row r="6" spans="1:12" x14ac:dyDescent="0.3">
      <c r="A6" s="160" t="s">
        <v>123</v>
      </c>
      <c r="B6" s="14">
        <v>281</v>
      </c>
      <c r="D6" s="74" t="s">
        <v>126</v>
      </c>
      <c r="E6" s="101">
        <v>718</v>
      </c>
      <c r="F6" s="101">
        <v>671</v>
      </c>
      <c r="G6" s="101">
        <v>636</v>
      </c>
      <c r="H6" s="101">
        <v>616</v>
      </c>
      <c r="I6" s="101">
        <v>586</v>
      </c>
      <c r="J6" s="101">
        <v>548</v>
      </c>
      <c r="K6" s="101">
        <v>506</v>
      </c>
      <c r="L6" s="74">
        <v>462</v>
      </c>
    </row>
    <row r="7" spans="1:12" x14ac:dyDescent="0.3">
      <c r="A7" s="160" t="s">
        <v>124</v>
      </c>
      <c r="B7" s="57" t="s">
        <v>158</v>
      </c>
      <c r="D7" s="74"/>
      <c r="E7" s="101"/>
      <c r="F7" s="101"/>
      <c r="G7" s="101"/>
      <c r="H7" s="101"/>
      <c r="I7" s="101"/>
      <c r="J7" s="101"/>
      <c r="K7" s="101"/>
      <c r="L7" s="74"/>
    </row>
    <row r="8" spans="1:12" x14ac:dyDescent="0.3">
      <c r="A8" s="54" t="s">
        <v>135</v>
      </c>
      <c r="B8" s="161">
        <v>718</v>
      </c>
      <c r="D8" s="77" t="s">
        <v>139</v>
      </c>
      <c r="E8" s="101">
        <v>718</v>
      </c>
      <c r="F8" s="101">
        <v>671</v>
      </c>
      <c r="G8" s="101">
        <v>636</v>
      </c>
      <c r="H8" s="101">
        <v>616</v>
      </c>
      <c r="I8" s="101">
        <v>586</v>
      </c>
      <c r="J8" s="101">
        <v>548</v>
      </c>
      <c r="K8" s="101">
        <v>506</v>
      </c>
      <c r="L8" s="74">
        <v>462</v>
      </c>
    </row>
    <row r="9" spans="1:12" x14ac:dyDescent="0.3">
      <c r="A9" s="162" t="s">
        <v>138</v>
      </c>
      <c r="B9" s="163"/>
      <c r="D9" s="78" t="s">
        <v>140</v>
      </c>
      <c r="E9" s="101">
        <v>0</v>
      </c>
      <c r="F9" s="101">
        <v>0</v>
      </c>
      <c r="G9" s="101">
        <v>1200</v>
      </c>
      <c r="H9" s="101">
        <v>1200</v>
      </c>
      <c r="I9" s="101">
        <v>1200</v>
      </c>
      <c r="J9" s="101">
        <v>1200</v>
      </c>
      <c r="K9" s="101">
        <v>1200</v>
      </c>
      <c r="L9" s="74">
        <v>1200</v>
      </c>
    </row>
    <row r="10" spans="1:12" ht="14.4" customHeight="1" x14ac:dyDescent="0.3">
      <c r="A10" s="162"/>
      <c r="B10" s="163"/>
      <c r="D10" s="78" t="s">
        <v>125</v>
      </c>
      <c r="E10" s="101">
        <v>0</v>
      </c>
      <c r="F10" s="101">
        <v>0</v>
      </c>
      <c r="G10" s="101">
        <v>0</v>
      </c>
      <c r="H10" s="101">
        <v>0</v>
      </c>
      <c r="I10" s="101">
        <v>0</v>
      </c>
      <c r="J10" s="101">
        <v>0</v>
      </c>
      <c r="K10" s="101">
        <v>0</v>
      </c>
      <c r="L10" s="74">
        <v>0</v>
      </c>
    </row>
    <row r="11" spans="1:12" x14ac:dyDescent="0.3">
      <c r="A11" s="162"/>
      <c r="B11" s="163"/>
      <c r="D11" s="79" t="s">
        <v>141</v>
      </c>
      <c r="E11" s="100">
        <v>718</v>
      </c>
      <c r="F11" s="100">
        <v>671</v>
      </c>
      <c r="G11" s="100">
        <v>1836</v>
      </c>
      <c r="H11" s="100">
        <v>1816</v>
      </c>
      <c r="I11" s="100">
        <v>1786</v>
      </c>
      <c r="J11" s="100">
        <v>1748</v>
      </c>
      <c r="K11" s="100">
        <v>1706</v>
      </c>
      <c r="L11" s="167">
        <v>1662</v>
      </c>
    </row>
    <row r="12" spans="1:12" x14ac:dyDescent="0.3">
      <c r="A12" s="162"/>
      <c r="B12" s="163"/>
      <c r="D12" s="78" t="s">
        <v>122</v>
      </c>
      <c r="E12" s="101">
        <v>881</v>
      </c>
      <c r="F12" s="101">
        <v>881</v>
      </c>
      <c r="G12" s="101">
        <v>881</v>
      </c>
      <c r="H12" s="101">
        <v>881</v>
      </c>
      <c r="I12" s="101">
        <v>881</v>
      </c>
      <c r="J12" s="101">
        <v>881</v>
      </c>
      <c r="K12" s="101">
        <v>881</v>
      </c>
      <c r="L12" s="74">
        <v>881</v>
      </c>
    </row>
    <row r="13" spans="1:12" ht="34.799999999999997" customHeight="1" thickBot="1" x14ac:dyDescent="0.35">
      <c r="A13" s="164"/>
      <c r="B13" s="165"/>
      <c r="D13" s="167" t="s">
        <v>137</v>
      </c>
      <c r="E13" s="100" t="s">
        <v>132</v>
      </c>
      <c r="F13" s="170" t="s">
        <v>161</v>
      </c>
      <c r="G13" s="100" t="s">
        <v>132</v>
      </c>
      <c r="H13" s="100" t="s">
        <v>132</v>
      </c>
      <c r="I13" s="100" t="s">
        <v>132</v>
      </c>
      <c r="J13" s="100" t="s">
        <v>132</v>
      </c>
      <c r="K13" s="100" t="s">
        <v>132</v>
      </c>
      <c r="L13" s="167" t="s">
        <v>132</v>
      </c>
    </row>
    <row r="14" spans="1:12" x14ac:dyDescent="0.3">
      <c r="A14" s="76"/>
      <c r="B14" s="76"/>
    </row>
    <row r="16" spans="1:12" x14ac:dyDescent="0.3">
      <c r="A16" s="140"/>
      <c r="B16" s="140"/>
    </row>
  </sheetData>
  <mergeCells count="3">
    <mergeCell ref="A3:B3"/>
    <mergeCell ref="A16:B16"/>
    <mergeCell ref="A9:B1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3"/>
  <sheetViews>
    <sheetView zoomScale="85" zoomScaleNormal="85" workbookViewId="0">
      <selection activeCell="B29" sqref="B29"/>
    </sheetView>
  </sheetViews>
  <sheetFormatPr defaultRowHeight="14.4" x14ac:dyDescent="0.3"/>
  <cols>
    <col min="1" max="1" width="17.109375" bestFit="1" customWidth="1"/>
    <col min="2" max="2" width="48.109375" customWidth="1"/>
    <col min="3" max="3" width="14.33203125" bestFit="1" customWidth="1"/>
    <col min="4" max="4" width="47.21875" bestFit="1" customWidth="1"/>
    <col min="5" max="5" width="26.109375" customWidth="1"/>
    <col min="6" max="6" width="47.21875" bestFit="1" customWidth="1"/>
    <col min="7" max="7" width="30.77734375" bestFit="1" customWidth="1"/>
    <col min="8" max="8" width="17.109375" customWidth="1"/>
  </cols>
  <sheetData>
    <row r="1" spans="1:5" ht="15" thickBot="1" x14ac:dyDescent="0.35">
      <c r="A1" s="148" t="s">
        <v>109</v>
      </c>
      <c r="B1" s="149"/>
      <c r="C1" s="143" t="s">
        <v>47</v>
      </c>
      <c r="D1" s="145"/>
      <c r="E1" s="144"/>
    </row>
    <row r="2" spans="1:5" x14ac:dyDescent="0.3">
      <c r="A2" s="150"/>
      <c r="B2" s="149"/>
      <c r="C2" s="20" t="s">
        <v>4</v>
      </c>
      <c r="D2" s="22" t="s">
        <v>20</v>
      </c>
      <c r="E2" s="59" t="s">
        <v>32</v>
      </c>
    </row>
    <row r="3" spans="1:5" x14ac:dyDescent="0.3">
      <c r="A3" s="150"/>
      <c r="B3" s="149"/>
      <c r="C3" s="13" t="s">
        <v>74</v>
      </c>
      <c r="D3" s="12" t="s">
        <v>76</v>
      </c>
      <c r="E3" s="27" t="s">
        <v>32</v>
      </c>
    </row>
    <row r="4" spans="1:5" x14ac:dyDescent="0.3">
      <c r="A4" s="150"/>
      <c r="B4" s="149"/>
      <c r="C4" s="13" t="s">
        <v>77</v>
      </c>
      <c r="D4" s="12" t="s">
        <v>78</v>
      </c>
      <c r="E4" s="27" t="s">
        <v>32</v>
      </c>
    </row>
    <row r="5" spans="1:5" ht="86.4" customHeight="1" thickBot="1" x14ac:dyDescent="0.35">
      <c r="A5" s="151"/>
      <c r="B5" s="152"/>
      <c r="C5" s="13" t="s">
        <v>75</v>
      </c>
      <c r="D5" s="12" t="s">
        <v>80</v>
      </c>
      <c r="E5" s="27" t="s">
        <v>32</v>
      </c>
    </row>
    <row r="6" spans="1:5" ht="15" thickBot="1" x14ac:dyDescent="0.35">
      <c r="A6" s="143" t="s">
        <v>48</v>
      </c>
      <c r="B6" s="144"/>
      <c r="C6" s="13" t="s">
        <v>3</v>
      </c>
      <c r="D6" s="12" t="s">
        <v>81</v>
      </c>
      <c r="E6" s="26" t="s">
        <v>89</v>
      </c>
    </row>
    <row r="7" spans="1:5" x14ac:dyDescent="0.3">
      <c r="A7" s="43" t="s">
        <v>4</v>
      </c>
      <c r="B7" s="21">
        <v>11</v>
      </c>
      <c r="C7" s="13" t="s">
        <v>79</v>
      </c>
      <c r="D7" s="12" t="s">
        <v>82</v>
      </c>
      <c r="E7" s="26" t="s">
        <v>89</v>
      </c>
    </row>
    <row r="8" spans="1:5" x14ac:dyDescent="0.3">
      <c r="A8" s="44" t="s">
        <v>74</v>
      </c>
      <c r="B8" s="14">
        <v>24</v>
      </c>
      <c r="C8" s="13" t="s">
        <v>8</v>
      </c>
      <c r="D8" s="12" t="s">
        <v>83</v>
      </c>
      <c r="E8" s="26" t="s">
        <v>31</v>
      </c>
    </row>
    <row r="9" spans="1:5" x14ac:dyDescent="0.3">
      <c r="A9" s="146" t="s">
        <v>100</v>
      </c>
      <c r="B9" s="147"/>
      <c r="C9" s="13" t="s">
        <v>84</v>
      </c>
      <c r="D9" s="12" t="s">
        <v>85</v>
      </c>
      <c r="E9" s="26" t="s">
        <v>24</v>
      </c>
    </row>
    <row r="10" spans="1:5" x14ac:dyDescent="0.3">
      <c r="A10" s="44" t="s">
        <v>93</v>
      </c>
      <c r="B10" s="14">
        <v>32000</v>
      </c>
      <c r="C10" s="16" t="s">
        <v>104</v>
      </c>
      <c r="D10" s="42" t="s">
        <v>105</v>
      </c>
      <c r="E10" s="47" t="s">
        <v>107</v>
      </c>
    </row>
    <row r="11" spans="1:5" x14ac:dyDescent="0.3">
      <c r="A11" s="44" t="s">
        <v>2</v>
      </c>
      <c r="B11" s="14">
        <v>11000</v>
      </c>
      <c r="C11" s="25" t="s">
        <v>2</v>
      </c>
      <c r="D11" s="42" t="s">
        <v>106</v>
      </c>
      <c r="E11" s="47" t="s">
        <v>107</v>
      </c>
    </row>
    <row r="12" spans="1:5" x14ac:dyDescent="0.3">
      <c r="A12" s="44" t="s">
        <v>77</v>
      </c>
      <c r="B12" s="14">
        <f>(1-70%)*B8</f>
        <v>7.2000000000000011</v>
      </c>
      <c r="C12" s="16" t="s">
        <v>94</v>
      </c>
      <c r="D12" s="42" t="s">
        <v>95</v>
      </c>
      <c r="E12" s="47" t="s">
        <v>31</v>
      </c>
    </row>
    <row r="13" spans="1:5" ht="15" thickBot="1" x14ac:dyDescent="0.35">
      <c r="A13" s="45" t="s">
        <v>75</v>
      </c>
      <c r="B13" s="46">
        <v>0</v>
      </c>
      <c r="C13" s="48" t="s">
        <v>96</v>
      </c>
      <c r="D13" s="49" t="s">
        <v>97</v>
      </c>
      <c r="E13" s="50" t="s">
        <v>31</v>
      </c>
    </row>
    <row r="15" spans="1:5" ht="15" thickBot="1" x14ac:dyDescent="0.35"/>
    <row r="16" spans="1:5" ht="16.2" thickBot="1" x14ac:dyDescent="0.35">
      <c r="C16" s="109" t="s">
        <v>91</v>
      </c>
      <c r="D16" s="110"/>
    </row>
    <row r="17" spans="1:4" ht="15" thickBot="1" x14ac:dyDescent="0.35">
      <c r="C17" s="153" t="s">
        <v>99</v>
      </c>
      <c r="D17" s="154"/>
    </row>
    <row r="18" spans="1:4" ht="16.2" thickBot="1" x14ac:dyDescent="0.35">
      <c r="A18" s="109" t="s">
        <v>90</v>
      </c>
      <c r="B18" s="110"/>
      <c r="C18" s="54" t="s">
        <v>98</v>
      </c>
      <c r="D18" s="55">
        <f>B8*D22-B7*B23+B12*(B23-D22)-B13*D21</f>
        <v>360410.41216157668</v>
      </c>
    </row>
    <row r="19" spans="1:4" x14ac:dyDescent="0.3">
      <c r="A19" s="43" t="s">
        <v>87</v>
      </c>
      <c r="B19" s="21">
        <f>B8-B7</f>
        <v>13</v>
      </c>
      <c r="C19" s="6" t="s">
        <v>9</v>
      </c>
      <c r="D19" s="56">
        <f>_xlfn.NORM.S.INV(B21)</f>
        <v>0.75145154384900581</v>
      </c>
    </row>
    <row r="20" spans="1:4" x14ac:dyDescent="0.3">
      <c r="A20" s="44" t="s">
        <v>86</v>
      </c>
      <c r="B20" s="14">
        <f>B7-B12</f>
        <v>3.7999999999999989</v>
      </c>
      <c r="C20" s="6" t="s">
        <v>92</v>
      </c>
      <c r="D20" s="57">
        <f>_xlfn.NORM.S.DIST(D19,0)-D19*(1-_xlfn.NORM.S.DIST(D19,1))</f>
        <v>0.13083827546285098</v>
      </c>
    </row>
    <row r="21" spans="1:4" x14ac:dyDescent="0.3">
      <c r="A21" s="44" t="s">
        <v>84</v>
      </c>
      <c r="B21" s="51">
        <f>B19/(B19+B20)</f>
        <v>0.77380952380952395</v>
      </c>
      <c r="C21" s="6" t="s">
        <v>94</v>
      </c>
      <c r="D21" s="58">
        <f>B11*D20</f>
        <v>1439.2210300913607</v>
      </c>
    </row>
    <row r="22" spans="1:4" x14ac:dyDescent="0.3">
      <c r="A22" s="44" t="s">
        <v>88</v>
      </c>
      <c r="B22" s="51">
        <f>B21</f>
        <v>0.77380952380952395</v>
      </c>
      <c r="C22" s="64" t="s">
        <v>96</v>
      </c>
      <c r="D22" s="65">
        <f>B10-D21</f>
        <v>30560.778969908639</v>
      </c>
    </row>
    <row r="23" spans="1:4" ht="21.6" customHeight="1" thickBot="1" x14ac:dyDescent="0.35">
      <c r="A23" s="52" t="s">
        <v>8</v>
      </c>
      <c r="B23" s="53">
        <f>_xlfn.NORM.INV(B22,B10,B11)</f>
        <v>40265.966982339065</v>
      </c>
      <c r="C23" s="141" t="s">
        <v>103</v>
      </c>
      <c r="D23" s="142"/>
    </row>
  </sheetData>
  <mergeCells count="8">
    <mergeCell ref="A18:B18"/>
    <mergeCell ref="C23:D23"/>
    <mergeCell ref="A6:B6"/>
    <mergeCell ref="C1:E1"/>
    <mergeCell ref="A9:B9"/>
    <mergeCell ref="A1:B5"/>
    <mergeCell ref="C17:D17"/>
    <mergeCell ref="C16:D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ContinuousReivewPolicy</vt:lpstr>
      <vt:lpstr>Periodic Review Policy</vt:lpstr>
      <vt:lpstr>OrderManagement</vt:lpstr>
      <vt:lpstr>Single Period Policy</vt:lpstr>
      <vt:lpstr>InventoryStatusChart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cp:lastPrinted>2024-05-12T15:44:50Z</cp:lastPrinted>
  <dcterms:created xsi:type="dcterms:W3CDTF">2024-03-27T01:39:27Z</dcterms:created>
  <dcterms:modified xsi:type="dcterms:W3CDTF">2024-05-17T08:38:59Z</dcterms:modified>
</cp:coreProperties>
</file>